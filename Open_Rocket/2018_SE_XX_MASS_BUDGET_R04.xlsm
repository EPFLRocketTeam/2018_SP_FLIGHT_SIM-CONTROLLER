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milien\Documents\MATLAB\EPFL\Ma 2\Projet de Semestre II\2018_SP_FLIGHT_SIM-CONTROLLER\Open_Rocket\"/>
    </mc:Choice>
  </mc:AlternateContent>
  <bookViews>
    <workbookView xWindow="0" yWindow="0" windowWidth="23040" windowHeight="9648" firstSheet="5" activeTab="8"/>
  </bookViews>
  <sheets>
    <sheet name="Rocket" sheetId="1" r:id="rId1"/>
    <sheet name="Airbrakes - OPTION 1" sheetId="3" r:id="rId2"/>
    <sheet name="Airbrakes - OPTION 2" sheetId="5" r:id="rId3"/>
    <sheet name="Avionics Main - OPTION 1" sheetId="7" r:id="rId4"/>
    <sheet name="Avionics Nose - OPTION 1" sheetId="17" r:id="rId5"/>
    <sheet name="Payload - OPTION 1" sheetId="8" r:id="rId6"/>
    <sheet name="Propulsion - OPTION 1" sheetId="9" r:id="rId7"/>
    <sheet name="Recovery - OPTION 1" sheetId="12" r:id="rId8"/>
    <sheet name="Structure - OPTION 1" sheetId="13" r:id="rId9"/>
    <sheet name="Option sheet" sheetId="6" r:id="rId10"/>
  </sheets>
  <externalReferences>
    <externalReference r:id="rId11"/>
  </externalReferences>
  <definedNames>
    <definedName name="Categories">[1]Category!$A$1:$A$10</definedName>
    <definedName name="_xlnm.Print_Titles" localSheetId="1">'Airbrakes - OPTION 1'!#REF!</definedName>
    <definedName name="_xlnm.Print_Titles" localSheetId="2">'Airbrakes - OPTION 2'!$4:$4</definedName>
    <definedName name="_xlnm.Print_Titles" localSheetId="3">'Avionics Main - OPTION 1'!$4:$4</definedName>
    <definedName name="_xlnm.Print_Titles" localSheetId="4">'Avionics Nose - OPTION 1'!$4:$4</definedName>
    <definedName name="_xlnm.Print_Titles" localSheetId="5">'Payload - OPTION 1'!$4:$4</definedName>
    <definedName name="_xlnm.Print_Titles" localSheetId="6">'Propulsion - OPTION 1'!$5:$5</definedName>
    <definedName name="_xlnm.Print_Titles" localSheetId="7">'Recovery - OPTION 1'!$4:$4</definedName>
    <definedName name="_xlnm.Print_Titles" localSheetId="0">Rocket!$9:$9</definedName>
    <definedName name="_xlnm.Print_Titles" localSheetId="8">'Structure - OPTION 1'!$4:$4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0" i="12" l="1"/>
  <c r="F10" i="17"/>
  <c r="F5" i="13"/>
  <c r="F9" i="13"/>
  <c r="F7" i="13"/>
  <c r="F8" i="13"/>
  <c r="F10" i="13"/>
  <c r="F6" i="13"/>
  <c r="F11" i="13"/>
  <c r="F13" i="13" s="1"/>
  <c r="F15" i="13" s="1"/>
  <c r="D10" i="1"/>
  <c r="D11" i="1"/>
  <c r="D12" i="1"/>
  <c r="D13" i="1"/>
  <c r="D14" i="1"/>
  <c r="D15" i="1"/>
  <c r="D16" i="1"/>
  <c r="D17" i="1"/>
  <c r="F20" i="1" s="1"/>
  <c r="F21" i="1" s="1"/>
  <c r="B17" i="1"/>
  <c r="F6" i="8"/>
  <c r="F5" i="12"/>
  <c r="F6" i="12"/>
  <c r="F7" i="12"/>
  <c r="F8" i="12"/>
  <c r="F9" i="12"/>
  <c r="F11" i="12"/>
  <c r="F12" i="12"/>
  <c r="F19" i="12" s="1"/>
  <c r="F21" i="12" s="1"/>
  <c r="F23" i="12" s="1"/>
  <c r="F13" i="12"/>
  <c r="F14" i="12"/>
  <c r="F15" i="12"/>
  <c r="F16" i="12"/>
  <c r="F7" i="17"/>
  <c r="F8" i="17"/>
  <c r="F6" i="17"/>
  <c r="F5" i="17"/>
  <c r="F11" i="17" s="1"/>
  <c r="F13" i="17" s="1"/>
  <c r="F15" i="17" s="1"/>
  <c r="F10" i="7"/>
  <c r="F16" i="9"/>
  <c r="F17" i="9"/>
  <c r="C2" i="6"/>
  <c r="D2" i="6"/>
  <c r="E2" i="6"/>
  <c r="F2" i="6"/>
  <c r="G2" i="6"/>
  <c r="E3" i="6"/>
  <c r="E4" i="6"/>
  <c r="F17" i="12"/>
  <c r="F18" i="12"/>
  <c r="F14" i="17"/>
  <c r="F9" i="17"/>
  <c r="F10" i="1"/>
  <c r="F17" i="1" s="1"/>
  <c r="F11" i="1"/>
  <c r="F12" i="1"/>
  <c r="F13" i="1"/>
  <c r="F14" i="1"/>
  <c r="F15" i="1"/>
  <c r="F16" i="1"/>
  <c r="E17" i="1"/>
  <c r="F21" i="9"/>
  <c r="F18" i="9"/>
  <c r="F20" i="9" s="1"/>
  <c r="F22" i="9" s="1"/>
  <c r="F22" i="12"/>
  <c r="F11" i="9"/>
  <c r="F10" i="8"/>
  <c r="F14" i="7"/>
  <c r="F14" i="13"/>
  <c r="F7" i="9"/>
  <c r="F6" i="9"/>
  <c r="A2" i="6"/>
  <c r="F6" i="3"/>
  <c r="F7" i="3"/>
  <c r="F5" i="3"/>
  <c r="F8" i="3" s="1"/>
  <c r="F10" i="3" s="1"/>
  <c r="F5" i="8"/>
  <c r="F7" i="8" s="1"/>
  <c r="F9" i="8" s="1"/>
  <c r="F9" i="7"/>
  <c r="F8" i="7"/>
  <c r="F7" i="7"/>
  <c r="F6" i="7"/>
  <c r="F5" i="7"/>
  <c r="F11" i="7" s="1"/>
  <c r="F13" i="7" s="1"/>
  <c r="F15" i="7" s="1"/>
  <c r="F11" i="3"/>
  <c r="F11" i="5"/>
  <c r="A3" i="6"/>
  <c r="F5" i="5"/>
  <c r="F6" i="5"/>
  <c r="F7" i="5"/>
  <c r="F8" i="9"/>
  <c r="F10" i="9" s="1"/>
  <c r="F8" i="5"/>
  <c r="F10" i="5" s="1"/>
  <c r="F11" i="8" l="1"/>
  <c r="F12" i="5"/>
  <c r="F12" i="3"/>
  <c r="F12" i="9"/>
</calcChain>
</file>

<file path=xl/comments1.xml><?xml version="1.0" encoding="utf-8"?>
<comments xmlns="http://schemas.openxmlformats.org/spreadsheetml/2006/main">
  <authors>
    <author>Microsoft Office User</author>
  </authors>
  <commentList>
    <comment ref="A5" authorId="0" shapeId="0">
      <text>
        <r>
          <rPr>
            <b/>
            <sz val="10"/>
            <color indexed="81"/>
            <rFont val="Calibri"/>
            <family val="2"/>
          </rPr>
          <t xml:space="preserve">What's this?
</t>
        </r>
      </text>
    </comment>
  </commentList>
</comments>
</file>

<file path=xl/sharedStrings.xml><?xml version="1.0" encoding="utf-8"?>
<sst xmlns="http://schemas.openxmlformats.org/spreadsheetml/2006/main" count="220" uniqueCount="95">
  <si>
    <t>Title:</t>
  </si>
  <si>
    <t>Project:</t>
  </si>
  <si>
    <t>IREC SA CUP 2018 Team Lausanne – MATTERHORN</t>
  </si>
  <si>
    <t>Filename:</t>
  </si>
  <si>
    <t xml:space="preserve"> </t>
  </si>
  <si>
    <t>Note:</t>
  </si>
  <si>
    <t>REF</t>
  </si>
  <si>
    <t>Components</t>
  </si>
  <si>
    <t>Mass</t>
  </si>
  <si>
    <t>Contingency</t>
  </si>
  <si>
    <t>Mass w. contingency</t>
  </si>
  <si>
    <t>Mass allocated by SE</t>
  </si>
  <si>
    <t>Margin</t>
  </si>
  <si>
    <t>MASS BUDGET</t>
  </si>
  <si>
    <t>Genral contingency</t>
  </si>
  <si>
    <t xml:space="preserve">Total                                      </t>
  </si>
  <si>
    <t>Options</t>
  </si>
  <si>
    <t>Aerobrakes</t>
  </si>
  <si>
    <t>Avionics</t>
  </si>
  <si>
    <t>Payload</t>
  </si>
  <si>
    <t>Propulsion</t>
  </si>
  <si>
    <t>Recovery</t>
  </si>
  <si>
    <t>Structure</t>
  </si>
  <si>
    <t>Shuriken</t>
  </si>
  <si>
    <t>Option:</t>
  </si>
  <si>
    <t>Division:</t>
  </si>
  <si>
    <t>Linear screw system</t>
  </si>
  <si>
    <t>System contingency</t>
  </si>
  <si>
    <t>Total w system contingency</t>
  </si>
  <si>
    <t>#</t>
  </si>
  <si>
    <t>Contingency
[%]</t>
  </si>
  <si>
    <t>Aerorake</t>
  </si>
  <si>
    <t>Motor</t>
  </si>
  <si>
    <t>Main</t>
  </si>
  <si>
    <t>Global Mass Budget</t>
  </si>
  <si>
    <t>Total mass w general contingency [kg]</t>
  </si>
  <si>
    <t>Total margin w general contingency [kg]</t>
  </si>
  <si>
    <t>Cesaroni M2150</t>
  </si>
  <si>
    <t>At Lift off</t>
  </si>
  <si>
    <t>After burn out</t>
  </si>
  <si>
    <t>Burnout</t>
  </si>
  <si>
    <r>
      <t>2018_</t>
    </r>
    <r>
      <rPr>
        <sz val="8"/>
        <rFont val="Arial"/>
        <family val="2"/>
      </rPr>
      <t>SE_</t>
    </r>
    <r>
      <rPr>
        <sz val="8"/>
        <color theme="4" tint="0.39997558519241921"/>
        <rFont val="Arial"/>
        <family val="2"/>
      </rPr>
      <t>XX</t>
    </r>
    <r>
      <rPr>
        <sz val="8"/>
        <rFont val="Arial"/>
        <family val="2"/>
      </rPr>
      <t>_MASS_BUDGET_R01</t>
    </r>
  </si>
  <si>
    <t>SRAD</t>
  </si>
  <si>
    <t>Mass
[g]</t>
  </si>
  <si>
    <t>Mass w. contingency
[g]</t>
  </si>
  <si>
    <t>Avionics Main</t>
  </si>
  <si>
    <t>Avionics Nose</t>
  </si>
  <si>
    <t>Avionics - Nosecone</t>
  </si>
  <si>
    <t>Avionics - Main</t>
  </si>
  <si>
    <t>Parachute</t>
  </si>
  <si>
    <t>Frame</t>
  </si>
  <si>
    <t>Motorisation</t>
  </si>
  <si>
    <t>Flaps</t>
  </si>
  <si>
    <t>Drive train</t>
  </si>
  <si>
    <t>Mechanism</t>
  </si>
  <si>
    <t>Module</t>
  </si>
  <si>
    <t>COTS avionics</t>
  </si>
  <si>
    <t>Motor casing</t>
  </si>
  <si>
    <t>Nose cone</t>
  </si>
  <si>
    <t>Coupler</t>
  </si>
  <si>
    <t>Fins module assembly</t>
  </si>
  <si>
    <t>Lower tube assembly</t>
  </si>
  <si>
    <t>Upper tube asembly</t>
  </si>
  <si>
    <t>9V battery</t>
  </si>
  <si>
    <t>Cables and connectors</t>
  </si>
  <si>
    <t xml:space="preserve">Nose avionics </t>
  </si>
  <si>
    <t>LiPo battery</t>
  </si>
  <si>
    <t>Antennas</t>
  </si>
  <si>
    <t>Plate and eyelet</t>
  </si>
  <si>
    <t>Recovery plate</t>
  </si>
  <si>
    <t>Eyelet</t>
  </si>
  <si>
    <t>Screw and nuts</t>
  </si>
  <si>
    <t>Titanium bar</t>
  </si>
  <si>
    <t>Raptor CO2 system</t>
  </si>
  <si>
    <t xml:space="preserve">Connectors and cables </t>
  </si>
  <si>
    <t>Electrical shock cord</t>
  </si>
  <si>
    <t>Nose shock cord</t>
  </si>
  <si>
    <t>Y harness</t>
  </si>
  <si>
    <t>Deployement bag</t>
  </si>
  <si>
    <t>Line cutter</t>
  </si>
  <si>
    <t>motor controler</t>
  </si>
  <si>
    <t>LFP battery</t>
  </si>
  <si>
    <t>Structure elements</t>
  </si>
  <si>
    <t>14201, 14202</t>
  </si>
  <si>
    <t>Structure Elements</t>
  </si>
  <si>
    <t>14211, 14212</t>
  </si>
  <si>
    <t>14205, 14214</t>
  </si>
  <si>
    <t>12106, 12107</t>
  </si>
  <si>
    <t>Links</t>
  </si>
  <si>
    <t>Reefing body and lines</t>
  </si>
  <si>
    <t>12301-12303</t>
  </si>
  <si>
    <t>12304-12307</t>
  </si>
  <si>
    <t>-</t>
  </si>
  <si>
    <t>Trim mass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</si>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</sst>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2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8"/>
      <color rgb="FF548DD4"/>
      <name val="Arial"/>
      <family val="2"/>
    </font>
    <font>
      <sz val="11"/>
      <color theme="4" tint="0.399975585192419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Arial"/>
      <family val="2"/>
    </font>
    <font>
      <sz val="8"/>
      <color theme="4" tint="0.39997558519241921"/>
      <name val="Arial"/>
      <family val="2"/>
    </font>
    <font>
      <sz val="1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color rgb="FF000000"/>
      <name val="Segoe UI"/>
      <family val="2"/>
    </font>
    <font>
      <b/>
      <sz val="11"/>
      <color rgb="FFFF0000"/>
      <name val="Calibri"/>
      <family val="2"/>
      <scheme val="minor"/>
    </font>
    <font>
      <sz val="8"/>
      <color theme="1"/>
      <name val="Times Roman"/>
    </font>
    <font>
      <b/>
      <sz val="8"/>
      <color theme="0"/>
      <name val="Times Roman"/>
    </font>
    <font>
      <b/>
      <sz val="8"/>
      <color theme="1"/>
      <name val="Times Roman"/>
    </font>
    <font>
      <b/>
      <sz val="8"/>
      <color theme="0"/>
      <name val="Calibri"/>
      <family val="2"/>
      <scheme val="minor"/>
    </font>
    <font>
      <b/>
      <sz val="8"/>
      <name val="Times Roman"/>
    </font>
    <font>
      <sz val="11"/>
      <color rgb="FF000000"/>
      <name val="Calibri"/>
      <family val="2"/>
    </font>
    <font>
      <b/>
      <sz val="10"/>
      <color indexed="8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51">
    <xf numFmtId="0" fontId="0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</cellStyleXfs>
  <cellXfs count="70">
    <xf numFmtId="0" fontId="0" fillId="0" borderId="0" xfId="0"/>
    <xf numFmtId="164" fontId="2" fillId="0" borderId="0" xfId="0" applyNumberFormat="1" applyFont="1" applyFill="1" applyBorder="1" applyAlignment="1">
      <alignment wrapText="1"/>
    </xf>
    <xf numFmtId="164" fontId="0" fillId="0" borderId="0" xfId="0" applyNumberFormat="1" applyFill="1" applyAlignment="1">
      <alignment wrapText="1"/>
    </xf>
    <xf numFmtId="164" fontId="2" fillId="0" borderId="0" xfId="0" applyNumberFormat="1" applyFont="1" applyFill="1" applyAlignment="1">
      <alignment wrapText="1"/>
    </xf>
    <xf numFmtId="164" fontId="4" fillId="0" borderId="0" xfId="0" applyNumberFormat="1" applyFont="1" applyFill="1" applyBorder="1" applyAlignment="1">
      <alignment wrapText="1"/>
    </xf>
    <xf numFmtId="164" fontId="4" fillId="0" borderId="0" xfId="0" applyNumberFormat="1" applyFont="1" applyFill="1" applyAlignment="1">
      <alignment wrapText="1"/>
    </xf>
    <xf numFmtId="164" fontId="5" fillId="0" borderId="0" xfId="0" applyNumberFormat="1" applyFont="1" applyFill="1" applyBorder="1" applyAlignment="1">
      <alignment wrapText="1"/>
    </xf>
    <xf numFmtId="164" fontId="0" fillId="0" borderId="1" xfId="0" applyNumberFormat="1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164" fontId="0" fillId="0" borderId="2" xfId="0" applyNumberFormat="1" applyBorder="1" applyAlignment="1">
      <alignment vertical="center"/>
    </xf>
    <xf numFmtId="164" fontId="0" fillId="0" borderId="1" xfId="0" applyNumberFormat="1" applyBorder="1" applyAlignment="1">
      <alignment horizontal="left" vertical="center"/>
    </xf>
    <xf numFmtId="164" fontId="0" fillId="0" borderId="0" xfId="0" applyNumberFormat="1" applyBorder="1" applyAlignment="1">
      <alignment horizontal="left" vertical="center"/>
    </xf>
    <xf numFmtId="164" fontId="0" fillId="0" borderId="0" xfId="0" applyNumberForma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164" fontId="6" fillId="0" borderId="0" xfId="0" applyNumberFormat="1" applyFont="1" applyAlignment="1">
      <alignment vertical="center"/>
    </xf>
    <xf numFmtId="16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164" fontId="10" fillId="0" borderId="0" xfId="0" applyNumberFormat="1" applyFont="1" applyAlignment="1">
      <alignment vertical="center"/>
    </xf>
    <xf numFmtId="164" fontId="7" fillId="0" borderId="0" xfId="0" applyNumberFormat="1" applyFont="1" applyFill="1" applyAlignment="1">
      <alignment horizontal="center" vertical="center"/>
    </xf>
    <xf numFmtId="164" fontId="0" fillId="0" borderId="0" xfId="0" applyNumberFormat="1" applyFill="1" applyAlignment="1">
      <alignment vertical="center"/>
    </xf>
    <xf numFmtId="164" fontId="3" fillId="0" borderId="0" xfId="0" applyNumberFormat="1" applyFont="1" applyFill="1" applyAlignment="1">
      <alignment wrapText="1"/>
    </xf>
    <xf numFmtId="164" fontId="3" fillId="0" borderId="0" xfId="0" applyNumberFormat="1" applyFont="1" applyFill="1" applyBorder="1" applyAlignment="1">
      <alignment wrapText="1"/>
    </xf>
    <xf numFmtId="164" fontId="0" fillId="0" borderId="0" xfId="0" applyNumberFormat="1" applyAlignment="1">
      <alignment wrapText="1"/>
    </xf>
    <xf numFmtId="164" fontId="2" fillId="0" borderId="0" xfId="0" applyNumberFormat="1" applyFont="1" applyAlignment="1">
      <alignment wrapText="1"/>
    </xf>
    <xf numFmtId="164" fontId="0" fillId="0" borderId="5" xfId="0" applyNumberFormat="1" applyFont="1" applyBorder="1" applyAlignment="1">
      <alignment wrapText="1"/>
    </xf>
    <xf numFmtId="164" fontId="1" fillId="2" borderId="2" xfId="0" applyNumberFormat="1" applyFont="1" applyFill="1" applyBorder="1" applyAlignment="1">
      <alignment horizontal="center" vertical="center"/>
    </xf>
    <xf numFmtId="0" fontId="0" fillId="0" borderId="3" xfId="0" applyNumberFormat="1" applyFont="1" applyBorder="1"/>
    <xf numFmtId="0" fontId="0" fillId="3" borderId="3" xfId="0" applyNumberFormat="1" applyFont="1" applyFill="1" applyBorder="1" applyAlignment="1">
      <alignment wrapText="1"/>
    </xf>
    <xf numFmtId="0" fontId="12" fillId="2" borderId="2" xfId="0" applyFont="1" applyFill="1" applyBorder="1"/>
    <xf numFmtId="0" fontId="0" fillId="0" borderId="1" xfId="0" applyNumberFormat="1" applyFont="1" applyBorder="1"/>
    <xf numFmtId="164" fontId="10" fillId="0" borderId="0" xfId="0" applyNumberFormat="1" applyFont="1" applyBorder="1" applyAlignment="1">
      <alignment vertical="center"/>
    </xf>
    <xf numFmtId="0" fontId="0" fillId="0" borderId="0" xfId="0" applyNumberFormat="1"/>
    <xf numFmtId="164" fontId="17" fillId="0" borderId="0" xfId="0" applyNumberFormat="1" applyFont="1" applyFill="1" applyAlignment="1">
      <alignment horizontal="center" vertical="center"/>
    </xf>
    <xf numFmtId="1" fontId="18" fillId="0" borderId="0" xfId="0" applyNumberFormat="1" applyFont="1" applyFill="1" applyBorder="1" applyAlignment="1">
      <alignment wrapText="1"/>
    </xf>
    <xf numFmtId="164" fontId="18" fillId="0" borderId="0" xfId="0" applyNumberFormat="1" applyFont="1" applyFill="1" applyBorder="1" applyAlignment="1">
      <alignment wrapText="1"/>
    </xf>
    <xf numFmtId="164" fontId="19" fillId="0" borderId="0" xfId="0" applyNumberFormat="1" applyFont="1" applyFill="1" applyBorder="1" applyAlignment="1">
      <alignment horizontal="center" vertical="center"/>
    </xf>
    <xf numFmtId="164" fontId="19" fillId="0" borderId="0" xfId="0" applyNumberFormat="1" applyFont="1" applyFill="1" applyBorder="1" applyAlignment="1">
      <alignment horizontal="center" vertical="center" wrapText="1"/>
    </xf>
    <xf numFmtId="164" fontId="19" fillId="0" borderId="0" xfId="0" applyNumberFormat="1" applyFont="1" applyFill="1" applyAlignment="1">
      <alignment horizontal="center" vertical="center" wrapText="1"/>
    </xf>
    <xf numFmtId="164" fontId="20" fillId="0" borderId="0" xfId="0" applyNumberFormat="1" applyFont="1" applyFill="1" applyAlignment="1">
      <alignment wrapText="1"/>
    </xf>
    <xf numFmtId="164" fontId="19" fillId="2" borderId="3" xfId="0" applyNumberFormat="1" applyFont="1" applyFill="1" applyBorder="1" applyAlignment="1"/>
    <xf numFmtId="164" fontId="19" fillId="2" borderId="0" xfId="0" applyNumberFormat="1" applyFont="1" applyFill="1" applyAlignment="1">
      <alignment wrapText="1"/>
    </xf>
    <xf numFmtId="164" fontId="19" fillId="2" borderId="3" xfId="0" applyNumberFormat="1" applyFont="1" applyFill="1" applyBorder="1" applyAlignment="1">
      <alignment wrapText="1"/>
    </xf>
    <xf numFmtId="1" fontId="18" fillId="0" borderId="0" xfId="0" applyNumberFormat="1" applyFont="1" applyFill="1" applyBorder="1" applyAlignment="1">
      <alignment horizontal="right" wrapText="1"/>
    </xf>
    <xf numFmtId="164" fontId="21" fillId="0" borderId="0" xfId="0" applyNumberFormat="1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center" wrapText="1"/>
    </xf>
    <xf numFmtId="164" fontId="21" fillId="0" borderId="0" xfId="0" applyNumberFormat="1" applyFont="1" applyFill="1" applyAlignment="1">
      <alignment horizontal="center" vertical="center" wrapText="1"/>
    </xf>
    <xf numFmtId="164" fontId="22" fillId="0" borderId="0" xfId="0" applyNumberFormat="1" applyFont="1" applyFill="1" applyAlignment="1">
      <alignment wrapText="1"/>
    </xf>
    <xf numFmtId="164" fontId="18" fillId="0" borderId="0" xfId="0" applyNumberFormat="1" applyFont="1" applyFill="1" applyAlignment="1">
      <alignment wrapText="1"/>
    </xf>
    <xf numFmtId="164" fontId="18" fillId="0" borderId="0" xfId="0" applyNumberFormat="1" applyFont="1" applyAlignment="1">
      <alignment vertical="center"/>
    </xf>
    <xf numFmtId="164" fontId="19" fillId="2" borderId="4" xfId="0" applyNumberFormat="1" applyFont="1" applyFill="1" applyBorder="1" applyAlignment="1"/>
    <xf numFmtId="164" fontId="19" fillId="2" borderId="1" xfId="0" applyNumberFormat="1" applyFont="1" applyFill="1" applyBorder="1" applyAlignment="1">
      <alignment wrapText="1"/>
    </xf>
    <xf numFmtId="165" fontId="18" fillId="0" borderId="0" xfId="0" applyNumberFormat="1" applyFont="1" applyFill="1" applyBorder="1" applyAlignment="1">
      <alignment wrapText="1"/>
    </xf>
    <xf numFmtId="164" fontId="19" fillId="0" borderId="0" xfId="0" applyNumberFormat="1" applyFont="1" applyFill="1" applyAlignment="1">
      <alignment horizontal="center" vertical="center"/>
    </xf>
    <xf numFmtId="1" fontId="18" fillId="0" borderId="0" xfId="0" applyNumberFormat="1" applyFont="1" applyFill="1" applyAlignment="1">
      <alignment wrapText="1"/>
    </xf>
    <xf numFmtId="164" fontId="18" fillId="0" borderId="7" xfId="0" applyNumberFormat="1" applyFont="1" applyBorder="1" applyAlignment="1">
      <alignment vertical="center"/>
    </xf>
    <xf numFmtId="164" fontId="19" fillId="2" borderId="5" xfId="0" applyNumberFormat="1" applyFont="1" applyFill="1" applyBorder="1" applyAlignment="1"/>
    <xf numFmtId="164" fontId="19" fillId="2" borderId="6" xfId="0" applyNumberFormat="1" applyFont="1" applyFill="1" applyBorder="1" applyAlignment="1"/>
    <xf numFmtId="1" fontId="20" fillId="0" borderId="0" xfId="0" applyNumberFormat="1" applyFont="1" applyFill="1" applyBorder="1" applyAlignment="1">
      <alignment wrapText="1"/>
    </xf>
    <xf numFmtId="164" fontId="11" fillId="0" borderId="1" xfId="0" applyNumberFormat="1" applyFont="1" applyBorder="1" applyAlignment="1">
      <alignment horizontal="left" vertical="center"/>
    </xf>
    <xf numFmtId="164" fontId="11" fillId="0" borderId="2" xfId="0" applyNumberFormat="1" applyFont="1" applyBorder="1" applyAlignment="1">
      <alignment horizontal="left" vertical="center"/>
    </xf>
    <xf numFmtId="164" fontId="10" fillId="0" borderId="0" xfId="0" applyNumberFormat="1" applyFont="1" applyAlignment="1">
      <alignment vertical="center" wrapText="1"/>
    </xf>
    <xf numFmtId="164" fontId="19" fillId="2" borderId="4" xfId="0" applyNumberFormat="1" applyFont="1" applyFill="1" applyBorder="1" applyAlignment="1">
      <alignment horizontal="left"/>
    </xf>
    <xf numFmtId="164" fontId="19" fillId="2" borderId="5" xfId="0" applyNumberFormat="1" applyFont="1" applyFill="1" applyBorder="1" applyAlignment="1">
      <alignment horizontal="left"/>
    </xf>
    <xf numFmtId="164" fontId="19" fillId="2" borderId="6" xfId="0" applyNumberFormat="1" applyFont="1" applyFill="1" applyBorder="1" applyAlignment="1">
      <alignment horizontal="left"/>
    </xf>
    <xf numFmtId="164" fontId="19" fillId="2" borderId="2" xfId="0" applyNumberFormat="1" applyFont="1" applyFill="1" applyBorder="1" applyAlignment="1">
      <alignment horizontal="left"/>
    </xf>
    <xf numFmtId="164" fontId="19" fillId="2" borderId="7" xfId="0" applyNumberFormat="1" applyFont="1" applyFill="1" applyBorder="1" applyAlignment="1">
      <alignment horizontal="left"/>
    </xf>
    <xf numFmtId="164" fontId="19" fillId="2" borderId="4" xfId="0" applyNumberFormat="1" applyFont="1" applyFill="1" applyBorder="1" applyAlignment="1">
      <alignment horizontal="center"/>
    </xf>
    <xf numFmtId="164" fontId="19" fillId="2" borderId="5" xfId="0" applyNumberFormat="1" applyFont="1" applyFill="1" applyBorder="1" applyAlignment="1">
      <alignment horizontal="center"/>
    </xf>
    <xf numFmtId="164" fontId="19" fillId="2" borderId="6" xfId="0" applyNumberFormat="1" applyFont="1" applyFill="1" applyBorder="1" applyAlignment="1">
      <alignment horizontal="center"/>
    </xf>
  </cellXfs>
  <cellStyles count="51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" xfId="25" builtinId="8" hidden="1"/>
    <cellStyle name="Lien hypertexte" xfId="27" builtinId="8" hidden="1"/>
    <cellStyle name="Lien hypertexte" xfId="29" builtinId="8" hidden="1"/>
    <cellStyle name="Lien hypertexte" xfId="31" builtinId="8" hidden="1"/>
    <cellStyle name="Lien hypertexte" xfId="33" builtinId="8" hidden="1"/>
    <cellStyle name="Lien hypertexte" xfId="35" builtinId="8" hidden="1"/>
    <cellStyle name="Lien hypertexte" xfId="37" builtinId="8" hidden="1"/>
    <cellStyle name="Lien hypertexte" xfId="39" builtinId="8" hidden="1"/>
    <cellStyle name="Lien hypertexte" xfId="41" builtinId="8" hidden="1"/>
    <cellStyle name="Lien hypertexte" xfId="43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Lien hypertexte visité" xfId="26" builtinId="9" hidden="1"/>
    <cellStyle name="Lien hypertexte visité" xfId="28" builtinId="9" hidden="1"/>
    <cellStyle name="Lien hypertexte visité" xfId="30" builtinId="9" hidden="1"/>
    <cellStyle name="Lien hypertexte visité" xfId="32" builtinId="9" hidden="1"/>
    <cellStyle name="Lien hypertexte visité" xfId="34" builtinId="9" hidden="1"/>
    <cellStyle name="Lien hypertexte visité" xfId="36" builtinId="9" hidden="1"/>
    <cellStyle name="Lien hypertexte visité" xfId="38" builtinId="9" hidden="1"/>
    <cellStyle name="Lien hypertexte visité" xfId="40" builtinId="9" hidden="1"/>
    <cellStyle name="Lien hypertexte visité" xfId="42" builtinId="9" hidden="1"/>
    <cellStyle name="Lien hypertexte visité" xfId="44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Normal" xfId="0" builtinId="0"/>
  </cellStyles>
  <dxfs count="1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49998474074526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8"/>
        <color theme="1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8"/>
        <color theme="1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FFFF"/>
        <name val="Times Roman"/>
        <scheme val="none"/>
      </font>
      <numFmt numFmtId="164" formatCode="0.000"/>
      <fill>
        <patternFill patternType="solid">
          <fgColor rgb="FF000000"/>
          <bgColor rgb="FF808080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imes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8"/>
        <color auto="1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8"/>
        <color theme="0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FFFF"/>
        <name val="Calibri"/>
        <scheme val="none"/>
      </font>
      <numFmt numFmtId="164" formatCode="0.000"/>
      <fill>
        <patternFill patternType="solid">
          <fgColor rgb="FF000000"/>
          <bgColor rgb="FF808080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8"/>
        <color auto="1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FFFF"/>
        <name val="Times Roman"/>
        <scheme val="none"/>
      </font>
      <numFmt numFmtId="164" formatCode="0.000"/>
      <fill>
        <patternFill patternType="solid">
          <fgColor rgb="FF000000"/>
          <bgColor rgb="FF808080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FFFF"/>
        <name val="Times Roman"/>
        <scheme val="none"/>
      </font>
      <numFmt numFmtId="164" formatCode="0.000"/>
      <fill>
        <patternFill patternType="solid">
          <fgColor rgb="FF000000"/>
          <bgColor rgb="FF808080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rgb="FF000000"/>
          <bgColor rgb="FFFFFFFF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8"/>
        <color auto="1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FFFF"/>
        <name val="Times Roman"/>
        <scheme val="none"/>
      </font>
      <numFmt numFmtId="164" formatCode="0.000"/>
      <fill>
        <patternFill patternType="solid">
          <fgColor rgb="FF000000"/>
          <bgColor rgb="FF808080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8"/>
        <color auto="1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FFFF"/>
        <name val="Times Roman"/>
        <scheme val="none"/>
      </font>
      <numFmt numFmtId="164" formatCode="0.000"/>
      <fill>
        <patternFill patternType="solid">
          <fgColor rgb="FF000000"/>
          <bgColor rgb="FF808080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8"/>
        <color auto="1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FFFF"/>
        <name val="Times Roman"/>
        <scheme val="none"/>
      </font>
      <numFmt numFmtId="164" formatCode="0.000"/>
      <fill>
        <patternFill patternType="solid">
          <fgColor rgb="FF000000"/>
          <bgColor rgb="FF808080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FFFF"/>
        <name val="Times Roman"/>
        <scheme val="none"/>
      </font>
      <numFmt numFmtId="164" formatCode="0.000"/>
      <fill>
        <patternFill patternType="solid">
          <fgColor rgb="FF000000"/>
          <bgColor rgb="FF808080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rgb="FF000000"/>
          <bgColor rgb="FFFFFFFF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FFFF"/>
        <name val="Times Roman"/>
        <scheme val="none"/>
      </font>
      <numFmt numFmtId="164" formatCode="0.000"/>
      <fill>
        <patternFill patternType="solid">
          <fgColor rgb="FF000000"/>
          <bgColor rgb="FF808080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rgb="FF000000"/>
          <bgColor rgb="FFFFFFFF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solid">
          <fgColor indexed="64"/>
          <bgColor theme="0" tint="-4.9989318521683403E-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solid">
          <fgColor indexed="64"/>
          <bgColor theme="0" tint="-0.499984740745262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Times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Roman"/>
        <scheme val="none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ont>
        <b/>
        <i val="0"/>
        <strike val="0"/>
      </font>
      <fill>
        <patternFill>
          <bgColor theme="0" tint="-0.499984740745262"/>
        </patternFill>
      </fill>
    </dxf>
    <dxf>
      <font>
        <strike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Style de tableau 1" pivot="0" count="3">
      <tableStyleElement type="wholeTable" dxfId="168"/>
      <tableStyleElement type="headerRow" dxfId="167"/>
      <tableStyleElement type="secondRowStripe" dxfId="166"/>
    </tableStyle>
  </tableStyles>
  <colors>
    <mruColors>
      <color rgb="FFE2001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54" dropStyle="combo" dx="31" fmlaLink="$H$10" fmlaRange="'Option sheet'!$A$2:$A$6" noThreeD="1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'Option sheet'!$I$2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</xdr:colOff>
          <xdr:row>9</xdr:row>
          <xdr:rowOff>0</xdr:rowOff>
        </xdr:from>
        <xdr:to>
          <xdr:col>8</xdr:col>
          <xdr:colOff>0</xdr:colOff>
          <xdr:row>10</xdr:row>
          <xdr:rowOff>15240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16</xdr:row>
          <xdr:rowOff>175260</xdr:rowOff>
        </xdr:from>
        <xdr:to>
          <xdr:col>7</xdr:col>
          <xdr:colOff>1333500</xdr:colOff>
          <xdr:row>18</xdr:row>
          <xdr:rowOff>60960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701040</xdr:colOff>
          <xdr:row>13</xdr:row>
          <xdr:rowOff>15240</xdr:rowOff>
        </xdr:from>
        <xdr:to>
          <xdr:col>7</xdr:col>
          <xdr:colOff>1463040</xdr:colOff>
          <xdr:row>14</xdr:row>
          <xdr:rowOff>60960</xdr:rowOff>
        </xdr:to>
        <xdr:sp macro="" textlink="">
          <xdr:nvSpPr>
            <xdr:cNvPr id="1057" name="BO_cb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CH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Burnout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brunner/Google%20Drive/ERT%20Team%20Drive/2%20-%20Technics/2.1%20-%20System%20Engineering/2.1.1%20SE%20Documents/BOM/C:/Users/H&#233;lo&#239;se/Desktop/&#224;%20lire/Test_plan_Matterhor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tegory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RocketTable" displayName="RocketTable" ref="A9:F17" totalsRowCount="1" headerRowDxfId="165" dataDxfId="164" totalsRowDxfId="163">
  <tableColumns count="6">
    <tableColumn id="1" name="Structure" totalsRowLabel="Total                                      " dataDxfId="162" totalsRowDxfId="161"/>
    <tableColumn id="11" name="Mass" totalsRowFunction="custom" dataDxfId="160" totalsRowDxfId="159">
      <totalsRowFormula>SUM(RocketTable[Mass])</totalsRowFormula>
    </tableColumn>
    <tableColumn id="12" name="Contingency" dataDxfId="158" totalsRowDxfId="157"/>
    <tableColumn id="2" name="Mass w. contingency" totalsRowFunction="sum" dataDxfId="156" totalsRowDxfId="155">
      <calculatedColumnFormula>RocketTable[[#This Row],[Mass]]*(1+RocketTable[[#This Row],[Contingency]]/100)</calculatedColumnFormula>
    </tableColumn>
    <tableColumn id="69" name="Mass allocated by SE" totalsRowFunction="sum" dataDxfId="154" totalsRowDxfId="153"/>
    <tableColumn id="70" name="Margin" totalsRowFunction="sum" dataDxfId="152" totalsRowDxfId="151">
      <calculatedColumnFormula>RocketTable[[#This Row],[Mass allocated by SE]]-RocketTable[[#This Row],[Mass w. contingency]]</calculatedColumnFormula>
    </tableColumn>
  </tableColumns>
  <tableStyleInfo name="Style de tableau 1" showFirstColumn="0" showLastColumn="0" showRowStripes="1" showColumnStripes="0"/>
</table>
</file>

<file path=xl/tables/table2.xml><?xml version="1.0" encoding="utf-8"?>
<table xmlns="http://schemas.openxmlformats.org/spreadsheetml/2006/main" id="9" name="Topt" displayName="Topt" ref="H9:H10" totalsRowShown="0" headerRowDxfId="150" dataDxfId="148" headerRowBorderDxfId="149" tableBorderDxfId="147" totalsRowBorderDxfId="146">
  <autoFilter ref="H9:H10">
    <filterColumn colId="0" hiddenButton="1"/>
  </autoFilter>
  <tableColumns count="1">
    <tableColumn id="1" name="Options" dataDxfId="14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1" name="ABopt1" displayName="ABopt1" ref="A4:F8" totalsRowCount="1" headerRowDxfId="144" dataDxfId="143" totalsRowDxfId="142">
  <tableColumns count="6">
    <tableColumn id="1" name="REF" totalsRowLabel="Total                                      " dataDxfId="141" totalsRowDxfId="140"/>
    <tableColumn id="10" name="Components" dataDxfId="139" totalsRowDxfId="138"/>
    <tableColumn id="3" name="#" dataDxfId="137" totalsRowDxfId="136"/>
    <tableColumn id="11" name="Mass_x000a_[g]" dataDxfId="135" totalsRowDxfId="134"/>
    <tableColumn id="12" name="Contingency_x000a_[%]" dataDxfId="133" totalsRowDxfId="132"/>
    <tableColumn id="2" name="Mass w. contingency_x000a_[g]" totalsRowFunction="sum" dataDxfId="131" totalsRowDxfId="130">
      <calculatedColumnFormula>ABopt1[[#This Row],['#]]*ABopt1[[#This Row],[Mass
'[g']]]*(1+ABopt1[[#This Row],[Contingency
'[%']]]/100)</calculatedColumnFormula>
    </tableColumn>
  </tableColumns>
  <tableStyleInfo name="Style de tableau 1" showFirstColumn="0" showLastColumn="0" showRowStripes="1" showColumnStripes="0"/>
</table>
</file>

<file path=xl/tables/table4.xml><?xml version="1.0" encoding="utf-8"?>
<table xmlns="http://schemas.openxmlformats.org/spreadsheetml/2006/main" id="7" name="ABopt2" displayName="ABopt2" ref="A4:F8" totalsRowCount="1" headerRowDxfId="129" dataDxfId="128" totalsRowDxfId="127">
  <tableColumns count="6">
    <tableColumn id="1" name="REF" totalsRowLabel="Total                                      " dataDxfId="126" totalsRowDxfId="125"/>
    <tableColumn id="10" name="Components" dataDxfId="124" totalsRowDxfId="123"/>
    <tableColumn id="3" name="#" dataDxfId="122" totalsRowDxfId="121"/>
    <tableColumn id="11" name="Mass_x000a_[g]" dataDxfId="120" totalsRowDxfId="119"/>
    <tableColumn id="12" name="Contingency_x000a_[%]" dataDxfId="118" totalsRowDxfId="117"/>
    <tableColumn id="2" name="Mass w. contingency_x000a_[g]" totalsRowFunction="sum" dataDxfId="116" totalsRowDxfId="115">
      <calculatedColumnFormula>ABopt2[[#This Row],['#]]*ABopt2[[#This Row],[Mass
'[g']]]*(1+ABopt2[[#This Row],[Contingency
'[%']]]/100)</calculatedColumnFormula>
    </tableColumn>
  </tableColumns>
  <tableStyleInfo name="Style de tableau 1" showFirstColumn="0" showLastColumn="0" showRowStripes="1" showColumnStripes="0"/>
</table>
</file>

<file path=xl/tables/table5.xml><?xml version="1.0" encoding="utf-8"?>
<table xmlns="http://schemas.openxmlformats.org/spreadsheetml/2006/main" id="12" name="AVMopt1" displayName="AVMopt1" ref="A4:F11" totalsRowCount="1" headerRowDxfId="114" dataDxfId="113" totalsRowDxfId="112">
  <tableColumns count="6">
    <tableColumn id="1" name="REF" totalsRowLabel="Total                                      " dataDxfId="111" totalsRowDxfId="110"/>
    <tableColumn id="10" name="Components" dataDxfId="109" totalsRowDxfId="108"/>
    <tableColumn id="3" name="#" dataDxfId="107" totalsRowDxfId="106"/>
    <tableColumn id="11" name="Mass_x000a_[g]" dataDxfId="105" totalsRowDxfId="104"/>
    <tableColumn id="12" name="Contingency_x000a_[%]" dataDxfId="103" totalsRowDxfId="102"/>
    <tableColumn id="2" name="Mass w. contingency_x000a_[g]" totalsRowFunction="sum" dataDxfId="101" totalsRowDxfId="100">
      <calculatedColumnFormula>AVMopt1[[#This Row],['#]]*AVMopt1[[#This Row],[Mass
'[g']]]*(1+AVMopt1[[#This Row],[Contingency
'[%']]]/100)</calculatedColumnFormula>
    </tableColumn>
  </tableColumns>
  <tableStyleInfo name="Style de tableau 1" showFirstColumn="0" showLastColumn="0" showRowStripes="1" showColumnStripes="0"/>
</table>
</file>

<file path=xl/tables/table6.xml><?xml version="1.0" encoding="utf-8"?>
<table xmlns="http://schemas.openxmlformats.org/spreadsheetml/2006/main" id="5" name="AVNopt1" displayName="AVNopt1" ref="A4:F11" totalsRowCount="1" headerRowDxfId="99" dataDxfId="98" totalsRowDxfId="97">
  <tableColumns count="6">
    <tableColumn id="1" name="REF" totalsRowLabel="Total                                      " dataDxfId="96" totalsRowDxfId="95"/>
    <tableColumn id="10" name="Components" dataDxfId="94" totalsRowDxfId="93"/>
    <tableColumn id="3" name="#" dataDxfId="92" totalsRowDxfId="91"/>
    <tableColumn id="11" name="Mass_x000a_[g]" dataDxfId="90" totalsRowDxfId="89"/>
    <tableColumn id="12" name="Contingency_x000a_[%]" dataDxfId="88" totalsRowDxfId="87"/>
    <tableColumn id="2" name="Mass w. contingency_x000a_[g]" totalsRowFunction="sum" dataDxfId="86" totalsRowDxfId="85">
      <calculatedColumnFormula>AVNopt1[[#This Row],['#]]*AVNopt1[[#This Row],[Mass
'[g']]]*(1+AVNopt1[[#This Row],[Contingency
'[%']]]/100)</calculatedColumnFormula>
    </tableColumn>
  </tableColumns>
  <tableStyleInfo name="Style de tableau 1" showFirstColumn="0" showLastColumn="0" showRowStripes="1" showColumnStripes="0"/>
</table>
</file>

<file path=xl/tables/table7.xml><?xml version="1.0" encoding="utf-8"?>
<table xmlns="http://schemas.openxmlformats.org/spreadsheetml/2006/main" id="13" name="PLopt1" displayName="PLopt1" ref="A4:F7" totalsRowCount="1" headerRowDxfId="84" dataDxfId="83" totalsRowDxfId="82">
  <tableColumns count="6">
    <tableColumn id="1" name="REF" totalsRowLabel="Total                                      " dataDxfId="81" totalsRowDxfId="80"/>
    <tableColumn id="10" name="Components" dataDxfId="79" totalsRowDxfId="78"/>
    <tableColumn id="3" name="#" dataDxfId="77" totalsRowDxfId="76"/>
    <tableColumn id="11" name="Mass_x000a_[g]" dataDxfId="75" totalsRowDxfId="74"/>
    <tableColumn id="12" name="Contingency_x000a_[%]" dataDxfId="73" totalsRowDxfId="72"/>
    <tableColumn id="2" name="Mass w. contingency_x000a_[g]" totalsRowFunction="sum" dataDxfId="71" totalsRowDxfId="70">
      <calculatedColumnFormula>PLopt1[[#This Row],['#]]*PLopt1[[#This Row],[Mass
'[g']]]*(1+PLopt1[[#This Row],[Contingency
'[%']]]/100)</calculatedColumnFormula>
    </tableColumn>
  </tableColumns>
  <tableStyleInfo name="Style de tableau 1" showFirstColumn="0" showLastColumn="0" showRowStripes="1" showColumnStripes="0"/>
</table>
</file>

<file path=xl/tables/table8.xml><?xml version="1.0" encoding="utf-8"?>
<table xmlns="http://schemas.openxmlformats.org/spreadsheetml/2006/main" id="14" name="PPopt1" displayName="PPopt1" ref="A5:F8" totalsRowCount="1" headerRowDxfId="69" dataDxfId="68" totalsRowDxfId="67">
  <tableColumns count="6">
    <tableColumn id="1" name="REF" totalsRowLabel="Total                                      " dataDxfId="66" totalsRowDxfId="65"/>
    <tableColumn id="10" name="Components" dataDxfId="64" totalsRowDxfId="63"/>
    <tableColumn id="3" name="#" dataDxfId="62" totalsRowDxfId="61"/>
    <tableColumn id="11" name="Mass_x000a_[g]" dataDxfId="60" totalsRowDxfId="59"/>
    <tableColumn id="12" name="Contingency_x000a_[%]" dataDxfId="58" totalsRowDxfId="57"/>
    <tableColumn id="2" name="Mass w. contingency_x000a_[g]" totalsRowFunction="sum" dataDxfId="56" totalsRowDxfId="55">
      <calculatedColumnFormula>PPopt1[[#This Row],['#]]*PPopt1[[#This Row],[Mass
'[g']]]*(1+PPopt1[[#This Row],[Contingency
'[%']]]/100)</calculatedColumnFormula>
    </tableColumn>
  </tableColumns>
  <tableStyleInfo name="Style de tableau 1" showFirstColumn="0" showLastColumn="0" showRowStripes="1" showColumnStripes="0"/>
</table>
</file>

<file path=xl/tables/table9.xml><?xml version="1.0" encoding="utf-8"?>
<table xmlns="http://schemas.openxmlformats.org/spreadsheetml/2006/main" id="20" name="PPopt1_bo" displayName="PPopt1_bo" ref="A15:F18" totalsRowCount="1" headerRowDxfId="54" dataDxfId="53" totalsRowDxfId="52">
  <tableColumns count="6">
    <tableColumn id="1" name="REF" totalsRowLabel="Total                                      " dataDxfId="51" totalsRowDxfId="50"/>
    <tableColumn id="10" name="Components" dataDxfId="49" totalsRowDxfId="48"/>
    <tableColumn id="3" name="#" dataDxfId="47" totalsRowDxfId="46"/>
    <tableColumn id="11" name="Mass_x000a_[g]" dataDxfId="45" totalsRowDxfId="44"/>
    <tableColumn id="12" name="Contingency_x000a_[%]" dataDxfId="43" totalsRowDxfId="42"/>
    <tableColumn id="2" name="Mass w. contingency_x000a_[g]" totalsRowFunction="sum" dataDxfId="41" totalsRowDxfId="40">
      <calculatedColumnFormula>PPopt1_bo[[#This Row],['#]]*PPopt1_bo[[#This Row],[Mass
'[g']]]*(1+PPopt1_bo[[#This Row],[Contingency
'[%']]]/100)</calculatedColumnFormula>
    </tableColumn>
  </tableColumns>
  <tableStyleInfo name="Style de tableau 1" showFirstColumn="0" showLastColumn="0" showRowStripes="1" showColumnStripes="0"/>
</table>
</file>

<file path=xl/tables/table10.xml><?xml version="1.0" encoding="utf-8"?>
<table xmlns="http://schemas.openxmlformats.org/spreadsheetml/2006/main" id="17" name="REopt1" displayName="REopt1" ref="A4:F19" totalsRowCount="1" headerRowDxfId="39" dataDxfId="38" totalsRowDxfId="37">
  <tableColumns count="6">
    <tableColumn id="1" name="REF" totalsRowLabel="Total                                      " dataDxfId="36" totalsRowDxfId="35"/>
    <tableColumn id="10" name="Components" dataDxfId="34" totalsRowDxfId="33"/>
    <tableColumn id="3" name="#" dataDxfId="32" totalsRowDxfId="31"/>
    <tableColumn id="11" name="Mass_x000a_[g]" dataDxfId="30" totalsRowDxfId="29">
      <calculatedColumnFormula>133.8/2</calculatedColumnFormula>
    </tableColumn>
    <tableColumn id="12" name="Contingency_x000a_[%]" dataDxfId="28" totalsRowDxfId="27"/>
    <tableColumn id="2" name="Mass w. contingency_x000a_[g]" totalsRowFunction="sum" dataDxfId="26" totalsRowDxfId="25">
      <calculatedColumnFormula>REopt1[[#This Row],['#]]*REopt1[[#This Row],[Mass
'[g']]]*(1+REopt1[[#This Row],[Contingency
'[%']]]/100)</calculatedColumnFormula>
    </tableColumn>
  </tableColumns>
  <tableStyleInfo name="Style de tableau 1" showFirstColumn="0" showLastColumn="0" showRowStripes="1" showColumnStripes="0"/>
</table>
</file>

<file path=xl/tables/table11.xml><?xml version="1.0" encoding="utf-8"?>
<table xmlns="http://schemas.openxmlformats.org/spreadsheetml/2006/main" id="18" name="STopt1" displayName="STopt1" ref="A4:F11" totalsRowCount="1" headerRowDxfId="24" dataDxfId="23" totalsRowDxfId="22">
  <tableColumns count="6">
    <tableColumn id="1" name="REF" totalsRowLabel="Total                                      " dataDxfId="21" totalsRowDxfId="20"/>
    <tableColumn id="10" name="Components" dataDxfId="19" totalsRowDxfId="18"/>
    <tableColumn id="3" name="#" dataDxfId="17" totalsRowDxfId="16"/>
    <tableColumn id="11" name="Mass_x000a_[g]" dataDxfId="15" totalsRowDxfId="14"/>
    <tableColumn id="12" name="Contingency_x000a_[%]" dataDxfId="13" totalsRowDxfId="12"/>
    <tableColumn id="2" name="Mass w. contingency_x000a_[g]" totalsRowFunction="sum" dataDxfId="11" totalsRowDxfId="10">
      <calculatedColumnFormula>STopt1[[#This Row],['#]]*STopt1[[#This Row],[Mass
'[g']]]*(1+STopt1[[#This Row],[Contingency
'[%']]]/100)</calculatedColumnFormula>
    </tableColumn>
  </tableColumns>
  <tableStyleInfo name="Style de tableau 1" showFirstColumn="0" showLastColumn="0" showRowStripes="1" showColumnStripes="0"/>
</table>
</file>

<file path=xl/tables/table12.xml><?xml version="1.0" encoding="utf-8"?>
<table xmlns="http://schemas.openxmlformats.org/spreadsheetml/2006/main" id="10" name="Table10" displayName="Table10" ref="A1:G6" totalsRowShown="0">
  <autoFilter ref="A1:G6"/>
  <tableColumns count="7">
    <tableColumn id="1" name="Aerorake"/>
    <tableColumn id="7" name="Avionics Main"/>
    <tableColumn id="2" name="Avionics Nose" dataDxfId="9">
      <calculatedColumnFormula>'Avionics Main - OPTION 1'!B2</calculatedColumnFormula>
    </tableColumn>
    <tableColumn id="3" name="Payload" dataDxfId="8">
      <calculatedColumnFormula>'Payload - OPTION 1'!B2</calculatedColumnFormula>
    </tableColumn>
    <tableColumn id="4" name="Propulsion"/>
    <tableColumn id="5" name="Recovery" dataDxfId="7">
      <calculatedColumnFormula>'Recovery - OPTION 1'!B2</calculatedColumnFormula>
    </tableColumn>
    <tableColumn id="6" name="Structure" dataDxfId="6">
      <calculatedColumnFormula>'Structure - OPTION 1'!B2</calculatedColumnFormula>
    </tableColumn>
  </tableColumns>
  <tableStyleInfo name="Style de tableau 1" showFirstColumn="0" showLastColumn="0" showRowStripes="1" showColumnStripes="0"/>
</table>
</file>

<file path=xl/tables/table13.xml><?xml version="1.0" encoding="utf-8"?>
<table xmlns="http://schemas.openxmlformats.org/spreadsheetml/2006/main" id="23" name="BO" displayName="BO" ref="I1:I2" totalsRowShown="0" headerRowDxfId="5" dataDxfId="3" headerRowBorderDxfId="4" tableBorderDxfId="2" totalsRowBorderDxfId="1">
  <autoFilter ref="I1:I2"/>
  <tableColumns count="1">
    <tableColumn id="1" name="Burnout" dataDxfId="0"/>
  </tableColumns>
  <tableStyleInfo name="Style de tableau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64"/>
  <sheetViews>
    <sheetView showGridLines="0" workbookViewId="0">
      <selection activeCell="B16" sqref="B16"/>
    </sheetView>
  </sheetViews>
  <sheetFormatPr baseColWidth="10" defaultColWidth="11.44140625" defaultRowHeight="14.55" customHeight="1"/>
  <cols>
    <col min="1" max="1" width="22.44140625" style="9" bestFit="1" customWidth="1"/>
    <col min="2" max="2" width="13.44140625" style="9" customWidth="1"/>
    <col min="3" max="3" width="17.77734375" style="17" customWidth="1"/>
    <col min="4" max="4" width="18.44140625" style="17" bestFit="1" customWidth="1"/>
    <col min="5" max="5" width="18.44140625" style="9" bestFit="1" customWidth="1"/>
    <col min="6" max="6" width="9.44140625" style="9" customWidth="1"/>
    <col min="7" max="7" width="2.109375" style="9" customWidth="1"/>
    <col min="8" max="8" width="30.44140625" style="9" customWidth="1"/>
    <col min="9" max="9" width="12.44140625" style="9" customWidth="1"/>
    <col min="10" max="16384" width="11.44140625" style="9"/>
  </cols>
  <sheetData>
    <row r="1" spans="1:17" ht="14.55" customHeight="1">
      <c r="A1" s="59" t="s">
        <v>13</v>
      </c>
      <c r="B1" s="59"/>
      <c r="C1" s="59"/>
      <c r="D1" s="59"/>
      <c r="E1" s="59"/>
      <c r="F1" s="59"/>
      <c r="G1" s="59"/>
      <c r="H1" s="59"/>
      <c r="I1" s="59"/>
    </row>
    <row r="2" spans="1:17" ht="46.2" customHeight="1">
      <c r="A2" s="60"/>
      <c r="B2" s="60"/>
      <c r="C2" s="60"/>
      <c r="D2" s="60"/>
      <c r="E2" s="60"/>
      <c r="F2" s="60"/>
      <c r="G2" s="60"/>
      <c r="H2" s="60"/>
      <c r="I2" s="60"/>
    </row>
    <row r="3" spans="1:17" ht="14.4">
      <c r="A3" s="11" t="s">
        <v>0</v>
      </c>
      <c r="B3" s="13" t="s">
        <v>34</v>
      </c>
      <c r="C3" s="11"/>
      <c r="D3" s="8"/>
      <c r="E3" s="7"/>
      <c r="F3" s="7"/>
      <c r="G3" s="7"/>
    </row>
    <row r="4" spans="1:17" ht="14.4">
      <c r="A4" s="12" t="s">
        <v>1</v>
      </c>
      <c r="B4" s="13" t="s">
        <v>2</v>
      </c>
      <c r="C4" s="12"/>
      <c r="D4" s="14"/>
      <c r="E4" s="13"/>
      <c r="F4" s="13"/>
      <c r="G4" s="13"/>
    </row>
    <row r="5" spans="1:17" ht="14.4">
      <c r="A5" s="13" t="s">
        <v>3</v>
      </c>
      <c r="B5" s="31" t="s">
        <v>41</v>
      </c>
      <c r="C5" s="13"/>
      <c r="D5" s="14" t="s">
        <v>4</v>
      </c>
      <c r="E5" s="13"/>
      <c r="F5" s="13"/>
      <c r="G5" s="13"/>
    </row>
    <row r="6" spans="1:17" ht="14.4">
      <c r="B6" s="15"/>
      <c r="C6" s="16"/>
    </row>
    <row r="7" spans="1:17" ht="27.75" customHeight="1">
      <c r="A7" s="18" t="s">
        <v>5</v>
      </c>
      <c r="B7" s="61"/>
      <c r="C7" s="61"/>
      <c r="D7" s="61"/>
      <c r="E7" s="61"/>
      <c r="F7" s="61"/>
      <c r="G7" s="61"/>
    </row>
    <row r="8" spans="1:17" ht="14.4">
      <c r="B8" s="15"/>
      <c r="C8" s="9"/>
    </row>
    <row r="9" spans="1:17" s="17" customFormat="1" ht="13.05" customHeight="1">
      <c r="A9" s="36" t="s">
        <v>22</v>
      </c>
      <c r="B9" s="36" t="s">
        <v>8</v>
      </c>
      <c r="C9" s="36" t="s">
        <v>9</v>
      </c>
      <c r="D9" s="53" t="s">
        <v>10</v>
      </c>
      <c r="E9" s="53" t="s">
        <v>11</v>
      </c>
      <c r="F9" s="53" t="s">
        <v>12</v>
      </c>
      <c r="G9" s="19"/>
      <c r="H9" s="26" t="s">
        <v>16</v>
      </c>
      <c r="I9" s="19"/>
      <c r="J9" s="19"/>
      <c r="K9" s="9"/>
      <c r="L9" s="19"/>
      <c r="M9" s="19"/>
      <c r="N9" s="19"/>
      <c r="O9" s="19"/>
      <c r="P9" s="19"/>
      <c r="Q9" s="19"/>
    </row>
    <row r="10" spans="1:17" ht="13.05" customHeight="1">
      <c r="A10" s="48" t="s">
        <v>17</v>
      </c>
      <c r="B10" s="48">
        <v>838.93200000000002</v>
      </c>
      <c r="C10" s="54">
        <v>0</v>
      </c>
      <c r="D10" s="48">
        <f>RocketTable[[#This Row],[Mass]]*(1+RocketTable[[#This Row],[Contingency]]/100)</f>
        <v>838.93200000000002</v>
      </c>
      <c r="E10" s="48">
        <v>1400</v>
      </c>
      <c r="F10" s="48">
        <f>RocketTable[[#This Row],[Mass allocated by SE]]-RocketTable[[#This Row],[Mass w. contingency]]</f>
        <v>561.06799999999998</v>
      </c>
      <c r="G10" s="2"/>
      <c r="H10" s="25">
        <v>2</v>
      </c>
      <c r="I10" s="2"/>
      <c r="J10" s="2"/>
      <c r="K10" s="2"/>
      <c r="L10" s="2"/>
      <c r="M10" s="2"/>
      <c r="N10" s="2"/>
      <c r="O10" s="2"/>
      <c r="P10" s="2"/>
      <c r="Q10" s="2"/>
    </row>
    <row r="11" spans="1:17" ht="13.05" customHeight="1">
      <c r="A11" s="48" t="s">
        <v>48</v>
      </c>
      <c r="B11" s="48">
        <v>1205.8999999999999</v>
      </c>
      <c r="C11" s="54">
        <v>0</v>
      </c>
      <c r="D11" s="48">
        <f>RocketTable[[#This Row],[Mass]]*(1+RocketTable[[#This Row],[Contingency]]/100)</f>
        <v>1205.8999999999999</v>
      </c>
      <c r="E11" s="48">
        <v>1750</v>
      </c>
      <c r="F11" s="48">
        <f>RocketTable[[#This Row],[Mass allocated by SE]]-RocketTable[[#This Row],[Mass w. contingency]]</f>
        <v>544.10000000000014</v>
      </c>
      <c r="G11" s="2"/>
      <c r="I11" s="2"/>
      <c r="J11" s="2"/>
      <c r="K11" s="2"/>
      <c r="L11" s="2"/>
      <c r="M11" s="2"/>
      <c r="N11" s="2"/>
      <c r="O11" s="2"/>
      <c r="P11" s="2"/>
      <c r="Q11" s="2"/>
    </row>
    <row r="12" spans="1:17" ht="13.05" customHeight="1">
      <c r="A12" s="48" t="s">
        <v>47</v>
      </c>
      <c r="B12" s="48">
        <v>683.2</v>
      </c>
      <c r="C12" s="54">
        <v>0</v>
      </c>
      <c r="D12" s="48">
        <f>RocketTable[[#This Row],[Mass]]*(1+RocketTable[[#This Row],[Contingency]]/100)</f>
        <v>683.2</v>
      </c>
      <c r="E12" s="48">
        <v>1250</v>
      </c>
      <c r="F12" s="48">
        <f>RocketTable[[#This Row],[Mass allocated by SE]]-RocketTable[[#This Row],[Mass w. contingency]]</f>
        <v>566.79999999999995</v>
      </c>
      <c r="G12" s="2"/>
      <c r="I12" s="2"/>
      <c r="J12" s="2"/>
      <c r="K12" s="2"/>
      <c r="L12" s="2"/>
      <c r="M12" s="2"/>
      <c r="N12" s="2"/>
      <c r="O12" s="2"/>
      <c r="P12" s="2"/>
      <c r="Q12" s="2"/>
    </row>
    <row r="13" spans="1:17" ht="13.05" customHeight="1">
      <c r="A13" s="48" t="s">
        <v>19</v>
      </c>
      <c r="B13" s="48">
        <v>4103.4279999999999</v>
      </c>
      <c r="C13" s="54">
        <v>0</v>
      </c>
      <c r="D13" s="48">
        <f>RocketTable[[#This Row],[Mass]]*(1+RocketTable[[#This Row],[Contingency]]/100)</f>
        <v>4103.4279999999999</v>
      </c>
      <c r="E13" s="48">
        <v>4100</v>
      </c>
      <c r="F13" s="48">
        <f>RocketTable[[#This Row],[Mass allocated by SE]]-RocketTable[[#This Row],[Mass w. contingency]]</f>
        <v>-3.4279999999998836</v>
      </c>
      <c r="G13" s="2"/>
      <c r="I13" s="2"/>
      <c r="J13" s="2"/>
      <c r="K13" s="2"/>
      <c r="L13" s="2"/>
      <c r="M13" s="2"/>
      <c r="N13" s="2"/>
      <c r="O13" s="2"/>
      <c r="P13" s="2"/>
      <c r="Q13" s="2"/>
    </row>
    <row r="14" spans="1:17" ht="13.05" customHeight="1">
      <c r="A14" s="48" t="s">
        <v>20</v>
      </c>
      <c r="B14" s="48">
        <v>6786.1900000000005</v>
      </c>
      <c r="C14" s="54">
        <v>0</v>
      </c>
      <c r="D14" s="48">
        <f>RocketTable[[#This Row],[Mass]]*(1+RocketTable[[#This Row],[Contingency]]/100)</f>
        <v>6786.1900000000005</v>
      </c>
      <c r="E14" s="48">
        <v>6100</v>
      </c>
      <c r="F14" s="48">
        <f>RocketTable[[#This Row],[Mass allocated by SE]]-RocketTable[[#This Row],[Mass w. contingency]]</f>
        <v>-686.19000000000051</v>
      </c>
      <c r="G14" s="2"/>
      <c r="I14" s="2"/>
      <c r="J14" s="2"/>
      <c r="K14" s="2"/>
      <c r="L14" s="2"/>
      <c r="M14" s="2"/>
      <c r="N14" s="2"/>
      <c r="O14" s="2"/>
      <c r="P14" s="2"/>
      <c r="Q14" s="2"/>
    </row>
    <row r="15" spans="1:17" ht="13.05" customHeight="1">
      <c r="A15" s="48" t="s">
        <v>21</v>
      </c>
      <c r="B15" s="48">
        <v>2398.2000000000003</v>
      </c>
      <c r="C15" s="54">
        <v>0</v>
      </c>
      <c r="D15" s="48">
        <f>RocketTable[[#This Row],[Mass]]*(1+RocketTable[[#This Row],[Contingency]]/100)</f>
        <v>2398.2000000000003</v>
      </c>
      <c r="E15" s="48">
        <v>3000</v>
      </c>
      <c r="F15" s="48">
        <f>RocketTable[[#This Row],[Mass allocated by SE]]-RocketTable[[#This Row],[Mass w. contingency]]</f>
        <v>601.79999999999973</v>
      </c>
      <c r="G15" s="2"/>
      <c r="I15" s="2"/>
      <c r="J15" s="2"/>
      <c r="K15" s="2"/>
      <c r="L15" s="2"/>
      <c r="M15" s="2"/>
      <c r="N15" s="2"/>
      <c r="O15" s="2"/>
      <c r="P15" s="2"/>
      <c r="Q15" s="2"/>
    </row>
    <row r="16" spans="1:17" ht="13.05" customHeight="1">
      <c r="A16" s="48" t="s">
        <v>22</v>
      </c>
      <c r="B16" s="48">
        <v>6630</v>
      </c>
      <c r="C16" s="54">
        <v>0</v>
      </c>
      <c r="D16" s="48">
        <f>RocketTable[[#This Row],[Mass]]*(1+RocketTable[[#This Row],[Contingency]]/100)</f>
        <v>6630</v>
      </c>
      <c r="E16" s="48">
        <v>6000</v>
      </c>
      <c r="F16" s="48">
        <f>RocketTable[[#This Row],[Mass allocated by SE]]-RocketTable[[#This Row],[Mass w. contingency]]</f>
        <v>-630</v>
      </c>
    </row>
    <row r="17" spans="1:8" ht="13.05" customHeight="1">
      <c r="A17" s="40" t="s">
        <v>15</v>
      </c>
      <c r="B17" s="41">
        <f>SUM(RocketTable[Mass])</f>
        <v>22645.850000000002</v>
      </c>
      <c r="C17" s="41"/>
      <c r="D17" s="41">
        <f>SUBTOTAL(109,RocketTable[Mass w. contingency])</f>
        <v>22645.850000000002</v>
      </c>
      <c r="E17" s="41">
        <f>SUBTOTAL(109,RocketTable[Mass allocated by SE])</f>
        <v>23600</v>
      </c>
      <c r="F17" s="41">
        <f>SUBTOTAL(109,RocketTable[Margin])</f>
        <v>954.14999999999941</v>
      </c>
    </row>
    <row r="18" spans="1:8" ht="13.05" customHeight="1">
      <c r="A18" s="49"/>
      <c r="B18" s="49"/>
      <c r="C18" s="49"/>
      <c r="D18" s="49"/>
      <c r="E18" s="49"/>
      <c r="F18" s="55"/>
      <c r="H18" s="20"/>
    </row>
    <row r="19" spans="1:8" ht="13.05" customHeight="1">
      <c r="A19" s="50" t="s">
        <v>14</v>
      </c>
      <c r="B19" s="56"/>
      <c r="C19" s="56"/>
      <c r="D19" s="56"/>
      <c r="E19" s="57"/>
      <c r="F19" s="42">
        <v>5</v>
      </c>
    </row>
    <row r="20" spans="1:8" ht="13.05" customHeight="1">
      <c r="A20" s="62" t="s">
        <v>35</v>
      </c>
      <c r="B20" s="63"/>
      <c r="C20" s="63"/>
      <c r="D20" s="63"/>
      <c r="E20" s="64"/>
      <c r="F20" s="42">
        <f>RocketTable[[#Totals],[Mass w. contingency]]*(1+F19/100)</f>
        <v>23778.142500000002</v>
      </c>
      <c r="G20" s="2"/>
    </row>
    <row r="21" spans="1:8" ht="13.05" customHeight="1">
      <c r="A21" s="62" t="s">
        <v>36</v>
      </c>
      <c r="B21" s="63"/>
      <c r="C21" s="63"/>
      <c r="D21" s="63"/>
      <c r="E21" s="64"/>
      <c r="F21" s="42">
        <f>RocketTable[[#Totals],[Mass allocated by SE]]-F20</f>
        <v>-178.14250000000175</v>
      </c>
      <c r="G21" s="2"/>
    </row>
    <row r="22" spans="1:8" ht="14.55" customHeight="1">
      <c r="A22" s="2"/>
      <c r="B22" s="5"/>
      <c r="C22" s="4"/>
      <c r="D22" s="3"/>
      <c r="E22" s="2"/>
      <c r="F22" s="2"/>
      <c r="G22" s="2"/>
    </row>
    <row r="23" spans="1:8" s="20" customFormat="1" ht="14.55" customHeight="1">
      <c r="A23" s="2"/>
      <c r="B23" s="5"/>
      <c r="C23" s="4"/>
      <c r="D23" s="3"/>
      <c r="E23" s="2"/>
      <c r="F23" s="2"/>
      <c r="G23" s="2"/>
      <c r="H23" s="9"/>
    </row>
    <row r="24" spans="1:8" ht="14.55" customHeight="1">
      <c r="A24" s="2"/>
      <c r="B24" s="5"/>
      <c r="C24" s="4"/>
      <c r="D24" s="21"/>
      <c r="E24" s="2"/>
      <c r="F24" s="2"/>
      <c r="G24" s="2"/>
    </row>
    <row r="25" spans="1:8" ht="14.55" customHeight="1">
      <c r="A25" s="2"/>
      <c r="B25" s="4"/>
      <c r="C25" s="4"/>
      <c r="D25" s="21"/>
      <c r="E25" s="2"/>
      <c r="F25" s="2"/>
      <c r="G25" s="2"/>
    </row>
    <row r="26" spans="1:8" ht="14.55" customHeight="1">
      <c r="A26" s="2"/>
      <c r="B26" s="4"/>
      <c r="C26" s="4"/>
      <c r="D26" s="3"/>
      <c r="E26" s="2"/>
      <c r="F26" s="2"/>
      <c r="G26" s="2"/>
    </row>
    <row r="27" spans="1:8" ht="21.75" customHeight="1">
      <c r="A27" s="2"/>
      <c r="B27" s="4"/>
      <c r="C27" s="6"/>
      <c r="D27" s="3"/>
      <c r="E27" s="2"/>
      <c r="F27" s="2"/>
      <c r="G27" s="2"/>
    </row>
    <row r="28" spans="1:8" ht="14.55" customHeight="1">
      <c r="A28" s="2"/>
      <c r="B28" s="4"/>
      <c r="C28" s="6"/>
      <c r="D28" s="21"/>
      <c r="E28" s="2"/>
      <c r="F28" s="2"/>
      <c r="G28" s="2"/>
    </row>
    <row r="29" spans="1:8" ht="14.4">
      <c r="A29" s="2"/>
      <c r="B29" s="1"/>
      <c r="C29" s="1"/>
      <c r="D29" s="3"/>
      <c r="E29" s="2"/>
      <c r="F29" s="2"/>
      <c r="G29" s="2"/>
    </row>
    <row r="30" spans="1:8" ht="14.55" customHeight="1">
      <c r="A30" s="2"/>
      <c r="B30" s="1"/>
      <c r="C30" s="1"/>
      <c r="D30" s="3"/>
      <c r="E30" s="2"/>
      <c r="F30" s="2"/>
      <c r="G30" s="2"/>
    </row>
    <row r="31" spans="1:8" ht="14.55" customHeight="1">
      <c r="A31" s="2"/>
      <c r="B31" s="1"/>
      <c r="C31" s="1"/>
      <c r="D31" s="2"/>
      <c r="E31" s="2"/>
      <c r="F31" s="2"/>
      <c r="G31" s="2"/>
    </row>
    <row r="32" spans="1:8" ht="14.55" customHeight="1">
      <c r="A32" s="2"/>
      <c r="B32" s="1"/>
      <c r="C32" s="22"/>
      <c r="D32" s="3"/>
      <c r="E32" s="2"/>
      <c r="F32" s="2"/>
      <c r="G32" s="2"/>
    </row>
    <row r="33" spans="1:8" ht="14.55" customHeight="1">
      <c r="A33" s="2"/>
      <c r="B33" s="3"/>
      <c r="C33" s="3"/>
      <c r="D33" s="2"/>
      <c r="E33" s="2"/>
      <c r="F33" s="2"/>
      <c r="G33" s="2"/>
    </row>
    <row r="34" spans="1:8" ht="14.55" customHeight="1">
      <c r="A34" s="2"/>
      <c r="B34" s="3"/>
      <c r="C34" s="3"/>
      <c r="D34" s="3"/>
      <c r="E34" s="2"/>
      <c r="F34" s="2"/>
      <c r="G34" s="2"/>
    </row>
    <row r="35" spans="1:8" ht="14.55" customHeight="1">
      <c r="A35" s="2"/>
      <c r="B35" s="21"/>
      <c r="C35" s="21"/>
      <c r="D35" s="3"/>
      <c r="E35" s="2"/>
      <c r="F35" s="2"/>
      <c r="G35" s="2"/>
    </row>
    <row r="36" spans="1:8" ht="14.55" customHeight="1">
      <c r="A36" s="2"/>
      <c r="B36" s="21"/>
      <c r="C36" s="21"/>
      <c r="D36" s="21"/>
      <c r="E36" s="2"/>
      <c r="F36" s="2"/>
      <c r="G36" s="2"/>
      <c r="H36" s="20"/>
    </row>
    <row r="37" spans="1:8" ht="14.55" customHeight="1">
      <c r="A37" s="2"/>
      <c r="B37" s="3"/>
      <c r="C37" s="21"/>
      <c r="D37" s="21"/>
      <c r="E37" s="2"/>
      <c r="F37" s="2"/>
      <c r="G37" s="2"/>
      <c r="H37" s="20"/>
    </row>
    <row r="38" spans="1:8" ht="14.55" customHeight="1">
      <c r="A38" s="2"/>
      <c r="B38" s="3"/>
      <c r="C38" s="3"/>
      <c r="D38" s="21"/>
      <c r="E38" s="2"/>
      <c r="F38" s="2"/>
      <c r="G38" s="2"/>
    </row>
    <row r="39" spans="1:8" ht="14.55" customHeight="1">
      <c r="A39" s="2"/>
      <c r="B39" s="3"/>
      <c r="C39" s="3"/>
      <c r="D39" s="3"/>
      <c r="E39" s="2"/>
      <c r="F39" s="2"/>
      <c r="G39" s="2"/>
    </row>
    <row r="40" spans="1:8" ht="14.55" customHeight="1">
      <c r="A40" s="2"/>
      <c r="B40" s="3"/>
      <c r="C40" s="3"/>
      <c r="D40" s="3"/>
      <c r="E40" s="2"/>
      <c r="F40" s="2"/>
      <c r="G40" s="2"/>
    </row>
    <row r="41" spans="1:8" s="20" customFormat="1" ht="14.55" customHeight="1">
      <c r="A41" s="2"/>
      <c r="B41" s="3"/>
      <c r="C41" s="3"/>
      <c r="D41" s="3"/>
      <c r="E41" s="2"/>
      <c r="F41" s="2"/>
      <c r="G41" s="2"/>
      <c r="H41" s="9"/>
    </row>
    <row r="42" spans="1:8" s="20" customFormat="1" ht="14.55" customHeight="1">
      <c r="A42" s="2"/>
      <c r="B42" s="3"/>
      <c r="C42" s="3"/>
      <c r="D42" s="2"/>
      <c r="E42" s="2"/>
      <c r="F42" s="2"/>
      <c r="G42" s="2"/>
      <c r="H42" s="9"/>
    </row>
    <row r="43" spans="1:8" ht="14.55" customHeight="1">
      <c r="A43" s="2"/>
      <c r="B43" s="2"/>
      <c r="C43" s="2"/>
      <c r="D43" s="2"/>
      <c r="E43" s="2"/>
      <c r="F43" s="2"/>
      <c r="G43" s="2"/>
    </row>
    <row r="44" spans="1:8" ht="14.55" customHeight="1">
      <c r="A44" s="2"/>
      <c r="B44" s="2"/>
      <c r="C44" s="2"/>
      <c r="D44" s="2"/>
      <c r="E44" s="2"/>
      <c r="F44" s="2"/>
    </row>
    <row r="45" spans="1:8" ht="14.55" customHeight="1">
      <c r="A45" s="2"/>
      <c r="B45" s="2"/>
      <c r="C45" s="2"/>
      <c r="D45" s="2"/>
    </row>
    <row r="46" spans="1:8" ht="14.55" customHeight="1">
      <c r="A46" s="23"/>
      <c r="B46" s="24"/>
      <c r="C46" s="24"/>
      <c r="D46" s="2"/>
    </row>
    <row r="47" spans="1:8" ht="14.55" customHeight="1">
      <c r="A47" s="2"/>
      <c r="B47" s="3"/>
      <c r="C47" s="3"/>
      <c r="D47" s="2"/>
    </row>
    <row r="48" spans="1:8" ht="14.55" customHeight="1">
      <c r="A48" s="23"/>
      <c r="B48" s="24"/>
      <c r="C48" s="24"/>
      <c r="D48" s="2"/>
    </row>
    <row r="49" spans="1:4" ht="14.55" customHeight="1">
      <c r="A49" s="2"/>
      <c r="B49" s="3"/>
      <c r="C49" s="24"/>
      <c r="D49" s="2"/>
    </row>
    <row r="50" spans="1:4" ht="14.55" customHeight="1">
      <c r="A50" s="2"/>
      <c r="B50" s="3"/>
      <c r="C50" s="3"/>
      <c r="D50" s="2"/>
    </row>
    <row r="51" spans="1:4" ht="14.55" customHeight="1">
      <c r="A51" s="23"/>
      <c r="B51" s="24"/>
      <c r="C51" s="24"/>
      <c r="D51" s="2"/>
    </row>
    <row r="52" spans="1:4" ht="14.55" customHeight="1">
      <c r="A52" s="23"/>
      <c r="B52" s="24"/>
      <c r="C52" s="24"/>
      <c r="D52" s="2"/>
    </row>
    <row r="53" spans="1:4" ht="14.55" customHeight="1">
      <c r="A53" s="23"/>
      <c r="B53" s="24"/>
      <c r="C53" s="24"/>
    </row>
    <row r="54" spans="1:4" ht="14.55" customHeight="1">
      <c r="A54" s="23"/>
      <c r="B54" s="23"/>
      <c r="C54" s="23"/>
    </row>
    <row r="55" spans="1:4" ht="14.55" customHeight="1">
      <c r="A55" s="23"/>
      <c r="B55" s="23"/>
      <c r="C55" s="23"/>
    </row>
    <row r="56" spans="1:4" ht="14.55" customHeight="1">
      <c r="A56" s="23"/>
      <c r="B56" s="23"/>
      <c r="C56" s="23"/>
    </row>
    <row r="57" spans="1:4" ht="14.55" customHeight="1">
      <c r="A57" s="2"/>
      <c r="B57" s="2"/>
      <c r="C57" s="2"/>
    </row>
    <row r="58" spans="1:4" ht="14.55" customHeight="1">
      <c r="A58" s="2"/>
      <c r="B58" s="2"/>
      <c r="C58" s="2"/>
    </row>
    <row r="59" spans="1:4" ht="14.55" customHeight="1">
      <c r="A59" s="2"/>
      <c r="B59" s="2"/>
      <c r="C59" s="2"/>
    </row>
    <row r="60" spans="1:4" ht="14.55" customHeight="1">
      <c r="A60" s="2"/>
      <c r="B60" s="2"/>
      <c r="C60" s="2"/>
    </row>
    <row r="61" spans="1:4" ht="14.55" customHeight="1">
      <c r="A61" s="2"/>
      <c r="B61" s="2"/>
      <c r="C61" s="2"/>
    </row>
    <row r="62" spans="1:4" ht="14.55" customHeight="1">
      <c r="A62" s="2"/>
      <c r="B62" s="2"/>
      <c r="C62" s="2"/>
    </row>
    <row r="63" spans="1:4" ht="14.55" customHeight="1">
      <c r="A63" s="2"/>
      <c r="B63" s="2"/>
      <c r="C63" s="2"/>
    </row>
    <row r="64" spans="1:4" ht="14.55" customHeight="1">
      <c r="A64" s="2"/>
      <c r="B64" s="2"/>
      <c r="C64" s="2"/>
    </row>
  </sheetData>
  <mergeCells count="4">
    <mergeCell ref="A1:I2"/>
    <mergeCell ref="B7:G7"/>
    <mergeCell ref="A20:E20"/>
    <mergeCell ref="A21:E21"/>
  </mergeCells>
  <phoneticPr fontId="13" type="noConversion"/>
  <pageMargins left="0.39370078740157483" right="0.39370078740157483" top="1.4285714285714286" bottom="0.74803149606299213" header="0.31496062992125984" footer="0.31496062992125984"/>
  <pageSetup paperSize="9" orientation="landscape" r:id="rId1"/>
  <headerFooter>
    <oddHeader xml:space="preserve">&amp;L&amp;G
&amp;C&amp;10&amp;K000000IREC SA CUP 2018
TEAM LAUSANNE
System Engineering
Mass Budget&amp;R&amp;K000000Doc-No.: 2018_SE_XX_MASS_BUDGET_R01
Issue:                       1  &amp;K04+000  &amp;K000000           
Category:  Mass Budget
Date:   &amp;D
Page:              &amp;P of &amp;N
</oddHeader>
    <oddFooter>&amp;L&amp;10&amp;K000000INTERNAL USE ONLY&amp;C&amp;10&amp;K000000© EPFL Rocket Team 2018. This document shall not be used for other purposes than those for which it was established. No unauthorised distribution, dissemination or disclosure.&amp;11
&amp;R&amp;10&amp;K000000UNCLASSIFIED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5" name="Drop Down 8">
              <controlPr defaultSize="0" autoLine="0" autoPict="0" macro="[0]!AB_opt">
                <anchor moveWithCells="1">
                  <from>
                    <xdr:col>7</xdr:col>
                    <xdr:colOff>15240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Update">
                <anchor moveWithCells="1">
                  <from>
                    <xdr:col>7</xdr:col>
                    <xdr:colOff>723900</xdr:colOff>
                    <xdr:row>16</xdr:row>
                    <xdr:rowOff>175260</xdr:rowOff>
                  </from>
                  <to>
                    <xdr:col>7</xdr:col>
                    <xdr:colOff>1333500</xdr:colOff>
                    <xdr:row>18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O_cb">
              <controlPr defaultSize="0" autoFill="0" autoLine="0" autoPict="0" macro="[0]!PP_opt">
                <anchor moveWithCells="1">
                  <from>
                    <xdr:col>7</xdr:col>
                    <xdr:colOff>701040</xdr:colOff>
                    <xdr:row>13</xdr:row>
                    <xdr:rowOff>15240</xdr:rowOff>
                  </from>
                  <to>
                    <xdr:col>7</xdr:col>
                    <xdr:colOff>1463040</xdr:colOff>
                    <xdr:row>14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H54"/>
  <sheetViews>
    <sheetView showGridLines="0" workbookViewId="0">
      <selection activeCell="A4" sqref="A4:F12"/>
    </sheetView>
  </sheetViews>
  <sheetFormatPr baseColWidth="10" defaultColWidth="11.44140625" defaultRowHeight="14.55" customHeight="1"/>
  <cols>
    <col min="1" max="1" width="12.77734375" style="9" customWidth="1"/>
    <col min="2" max="2" width="43.109375" style="9" bestFit="1" customWidth="1"/>
    <col min="3" max="3" width="5.109375" style="17" bestFit="1" customWidth="1"/>
    <col min="4" max="4" width="11.109375" style="17" bestFit="1" customWidth="1"/>
    <col min="5" max="5" width="18.44140625" style="9" bestFit="1" customWidth="1"/>
    <col min="6" max="6" width="17.44140625" style="9" customWidth="1"/>
    <col min="7" max="7" width="12.44140625" style="9" bestFit="1" customWidth="1"/>
    <col min="8" max="8" width="13.44140625" style="9" bestFit="1" customWidth="1"/>
    <col min="9" max="16384" width="11.44140625" style="9"/>
  </cols>
  <sheetData>
    <row r="1" spans="1:60" ht="14.4">
      <c r="A1" s="11" t="s">
        <v>25</v>
      </c>
      <c r="B1" s="11" t="s">
        <v>17</v>
      </c>
      <c r="C1" s="11"/>
      <c r="D1" s="8"/>
      <c r="E1" s="7"/>
    </row>
    <row r="2" spans="1:60" ht="14.4">
      <c r="A2" s="10" t="s">
        <v>24</v>
      </c>
      <c r="B2" s="10" t="s">
        <v>26</v>
      </c>
      <c r="C2" s="10"/>
      <c r="D2" s="10"/>
      <c r="E2" s="10"/>
    </row>
    <row r="3" spans="1:60" ht="14.4">
      <c r="B3" s="15"/>
      <c r="C3" s="9"/>
    </row>
    <row r="4" spans="1:60" s="17" customFormat="1" ht="20.399999999999999">
      <c r="A4" s="36" t="s">
        <v>6</v>
      </c>
      <c r="B4" s="36" t="s">
        <v>7</v>
      </c>
      <c r="C4" s="36" t="s">
        <v>29</v>
      </c>
      <c r="D4" s="37" t="s">
        <v>43</v>
      </c>
      <c r="E4" s="37" t="s">
        <v>30</v>
      </c>
      <c r="F4" s="38" t="s">
        <v>44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</row>
    <row r="5" spans="1:60" ht="14.4">
      <c r="A5" s="34">
        <v>15500</v>
      </c>
      <c r="B5" s="35" t="s">
        <v>50</v>
      </c>
      <c r="C5" s="34">
        <v>1</v>
      </c>
      <c r="D5" s="35"/>
      <c r="E5" s="52"/>
      <c r="F5" s="47">
        <f>ABopt1[[#This Row],['#]]*ABopt1[[#This Row],[Mass
'[g']]]*(1+ABopt1[[#This Row],[Contingency
'[%']]]/100)</f>
        <v>0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</row>
    <row r="6" spans="1:60" ht="14.4">
      <c r="A6" s="34">
        <v>15600</v>
      </c>
      <c r="B6" s="35" t="s">
        <v>51</v>
      </c>
      <c r="C6" s="34">
        <v>1</v>
      </c>
      <c r="D6" s="35"/>
      <c r="E6" s="52"/>
      <c r="F6" s="47">
        <f>ABopt1[[#This Row],['#]]*ABopt1[[#This Row],[Mass
'[g']]]*(1+ABopt1[[#This Row],[Contingency
'[%']]]/100)</f>
        <v>0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</row>
    <row r="7" spans="1:60" ht="15.45" customHeight="1">
      <c r="A7" s="34">
        <v>15700</v>
      </c>
      <c r="B7" s="35" t="s">
        <v>52</v>
      </c>
      <c r="C7" s="34">
        <v>1</v>
      </c>
      <c r="D7" s="35"/>
      <c r="E7" s="52"/>
      <c r="F7" s="47">
        <f>ABopt1[[#This Row],['#]]*ABopt1[[#This Row],[Mass
'[g']]]*(1+ABopt1[[#This Row],[Contingency
'[%']]]/100)</f>
        <v>0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</row>
    <row r="8" spans="1:60" ht="14.4">
      <c r="A8" s="40" t="s">
        <v>15</v>
      </c>
      <c r="B8" s="41"/>
      <c r="C8" s="41"/>
      <c r="D8" s="41"/>
      <c r="E8" s="41"/>
      <c r="F8" s="41">
        <f>SUBTOTAL(109,ABopt1[Mass w. contingency
'[g']])</f>
        <v>0</v>
      </c>
    </row>
    <row r="9" spans="1:60" ht="14.55" customHeight="1">
      <c r="A9" s="62" t="s">
        <v>27</v>
      </c>
      <c r="B9" s="63"/>
      <c r="C9" s="63"/>
      <c r="D9" s="63"/>
      <c r="E9" s="64"/>
      <c r="F9" s="42">
        <v>0</v>
      </c>
    </row>
    <row r="10" spans="1:60" s="20" customFormat="1" ht="14.55" customHeight="1">
      <c r="A10" s="62" t="s">
        <v>28</v>
      </c>
      <c r="B10" s="63"/>
      <c r="C10" s="63"/>
      <c r="D10" s="63"/>
      <c r="E10" s="64"/>
      <c r="F10" s="42">
        <f>ABopt1[[#Totals],[Mass w. contingency
'[g']]]*(1+F9/100)</f>
        <v>0</v>
      </c>
    </row>
    <row r="11" spans="1:60" ht="14.55" customHeight="1">
      <c r="A11" s="62" t="s">
        <v>11</v>
      </c>
      <c r="B11" s="63"/>
      <c r="C11" s="63"/>
      <c r="D11" s="63"/>
      <c r="E11" s="64"/>
      <c r="F11" s="42">
        <f>Rocket!E10</f>
        <v>1400</v>
      </c>
    </row>
    <row r="12" spans="1:60" ht="14.55" customHeight="1">
      <c r="A12" s="62" t="s">
        <v>12</v>
      </c>
      <c r="B12" s="63"/>
      <c r="C12" s="63"/>
      <c r="D12" s="63"/>
      <c r="E12" s="64"/>
      <c r="F12" s="42">
        <f>F11-F10</f>
        <v>1400</v>
      </c>
    </row>
    <row r="13" spans="1:60" ht="14.55" customHeight="1">
      <c r="A13" s="2"/>
      <c r="B13" s="5"/>
      <c r="C13" s="4"/>
      <c r="D13" s="3"/>
      <c r="E13" s="2"/>
    </row>
    <row r="14" spans="1:60" ht="21.75" customHeight="1">
      <c r="A14" s="2"/>
      <c r="B14" s="5"/>
      <c r="C14" s="4"/>
      <c r="D14" s="21"/>
      <c r="E14" s="2"/>
    </row>
    <row r="15" spans="1:60" ht="14.55" customHeight="1">
      <c r="A15" s="2"/>
      <c r="B15" s="4"/>
      <c r="C15" s="4"/>
      <c r="D15" s="21"/>
      <c r="E15" s="2"/>
    </row>
    <row r="16" spans="1:60" ht="14.4">
      <c r="A16" s="2"/>
      <c r="B16" s="4"/>
      <c r="C16" s="4"/>
      <c r="D16" s="3"/>
      <c r="E16" s="2"/>
    </row>
    <row r="17" spans="1:6" ht="14.55" customHeight="1">
      <c r="A17" s="2"/>
      <c r="B17" s="4"/>
      <c r="C17" s="6"/>
      <c r="D17" s="3"/>
      <c r="E17" s="2"/>
    </row>
    <row r="18" spans="1:6" ht="14.55" customHeight="1">
      <c r="A18" s="2"/>
      <c r="B18" s="4"/>
      <c r="C18" s="6"/>
      <c r="D18" s="21"/>
      <c r="E18" s="2"/>
    </row>
    <row r="19" spans="1:6" ht="14.55" customHeight="1">
      <c r="A19" s="2"/>
      <c r="B19" s="1"/>
      <c r="C19" s="1"/>
      <c r="D19" s="3"/>
      <c r="E19" s="2"/>
    </row>
    <row r="20" spans="1:6" ht="14.55" customHeight="1">
      <c r="A20" s="2"/>
      <c r="B20" s="1"/>
      <c r="C20" s="1"/>
      <c r="D20" s="3"/>
      <c r="E20" s="2"/>
    </row>
    <row r="21" spans="1:6" ht="14.55" customHeight="1">
      <c r="A21" s="2"/>
      <c r="B21" s="1"/>
      <c r="C21" s="1"/>
      <c r="D21" s="2"/>
      <c r="E21" s="2"/>
    </row>
    <row r="22" spans="1:6" ht="14.55" customHeight="1">
      <c r="A22" s="2"/>
      <c r="B22" s="1"/>
      <c r="C22" s="22"/>
      <c r="D22" s="3"/>
      <c r="E22" s="2"/>
    </row>
    <row r="23" spans="1:6" ht="14.55" customHeight="1">
      <c r="A23" s="2"/>
      <c r="B23" s="3"/>
      <c r="C23" s="3"/>
      <c r="D23" s="2"/>
      <c r="E23" s="2"/>
    </row>
    <row r="24" spans="1:6" ht="14.55" customHeight="1">
      <c r="A24" s="2"/>
      <c r="B24" s="3"/>
      <c r="C24" s="3"/>
      <c r="D24" s="3"/>
      <c r="E24" s="2"/>
    </row>
    <row r="25" spans="1:6" ht="14.55" customHeight="1">
      <c r="A25" s="2"/>
      <c r="B25" s="21"/>
      <c r="C25" s="21"/>
      <c r="D25" s="3"/>
      <c r="E25" s="2"/>
    </row>
    <row r="26" spans="1:6" ht="14.55" customHeight="1">
      <c r="A26" s="2"/>
      <c r="B26" s="21"/>
      <c r="C26" s="21"/>
      <c r="D26" s="21"/>
      <c r="E26" s="2"/>
    </row>
    <row r="27" spans="1:6" ht="14.55" customHeight="1">
      <c r="A27" s="2"/>
      <c r="B27" s="3"/>
      <c r="C27" s="21"/>
      <c r="D27" s="21"/>
      <c r="E27" s="2"/>
      <c r="F27" s="20"/>
    </row>
    <row r="28" spans="1:6" s="20" customFormat="1" ht="14.55" customHeight="1">
      <c r="A28" s="2"/>
      <c r="B28" s="3"/>
      <c r="C28" s="3"/>
      <c r="D28" s="21"/>
      <c r="E28" s="2"/>
    </row>
    <row r="29" spans="1:6" s="20" customFormat="1" ht="14.55" customHeight="1">
      <c r="A29" s="2"/>
      <c r="B29" s="3"/>
      <c r="C29" s="3"/>
      <c r="D29" s="3"/>
      <c r="E29" s="2"/>
      <c r="F29" s="9"/>
    </row>
    <row r="30" spans="1:6" ht="14.55" customHeight="1">
      <c r="A30" s="2"/>
      <c r="B30" s="3"/>
      <c r="C30" s="3"/>
      <c r="D30" s="3"/>
      <c r="E30" s="2"/>
    </row>
    <row r="31" spans="1:6" ht="14.55" customHeight="1">
      <c r="A31" s="2"/>
      <c r="B31" s="3"/>
      <c r="C31" s="3"/>
      <c r="D31" s="3"/>
      <c r="E31" s="2"/>
    </row>
    <row r="32" spans="1:6" ht="14.55" customHeight="1">
      <c r="A32" s="2"/>
      <c r="B32" s="3"/>
      <c r="C32" s="3"/>
      <c r="D32" s="2"/>
      <c r="E32" s="2"/>
    </row>
    <row r="33" spans="1:5" ht="14.55" customHeight="1">
      <c r="A33" s="2"/>
      <c r="B33" s="2"/>
      <c r="C33" s="2"/>
      <c r="D33" s="2"/>
      <c r="E33" s="2"/>
    </row>
    <row r="34" spans="1:5" ht="14.55" customHeight="1">
      <c r="A34" s="2"/>
      <c r="B34" s="2"/>
      <c r="C34" s="2"/>
      <c r="D34" s="2"/>
      <c r="E34" s="2"/>
    </row>
    <row r="35" spans="1:5" ht="14.55" customHeight="1">
      <c r="A35" s="2"/>
      <c r="B35" s="2"/>
      <c r="C35" s="2"/>
      <c r="D35" s="2"/>
    </row>
    <row r="36" spans="1:5" ht="14.55" customHeight="1">
      <c r="A36" s="23"/>
      <c r="B36" s="24"/>
      <c r="C36" s="24"/>
      <c r="D36" s="2"/>
    </row>
    <row r="37" spans="1:5" ht="14.55" customHeight="1">
      <c r="A37" s="2"/>
      <c r="B37" s="3"/>
      <c r="C37" s="3"/>
      <c r="D37" s="2"/>
    </row>
    <row r="38" spans="1:5" ht="14.55" customHeight="1">
      <c r="A38" s="23"/>
      <c r="B38" s="24"/>
      <c r="C38" s="24"/>
      <c r="D38" s="2"/>
    </row>
    <row r="39" spans="1:5" ht="14.55" customHeight="1">
      <c r="A39" s="2"/>
      <c r="B39" s="3"/>
      <c r="C39" s="24"/>
      <c r="D39" s="2"/>
    </row>
    <row r="40" spans="1:5" ht="14.55" customHeight="1">
      <c r="A40" s="2"/>
      <c r="B40" s="3"/>
      <c r="C40" s="3"/>
      <c r="D40" s="2"/>
    </row>
    <row r="41" spans="1:5" ht="14.55" customHeight="1">
      <c r="A41" s="23"/>
      <c r="B41" s="24"/>
      <c r="C41" s="24"/>
      <c r="D41" s="2"/>
    </row>
    <row r="42" spans="1:5" ht="14.55" customHeight="1">
      <c r="A42" s="23"/>
      <c r="B42" s="24"/>
      <c r="C42" s="24"/>
      <c r="D42" s="2"/>
    </row>
    <row r="43" spans="1:5" ht="14.55" customHeight="1">
      <c r="A43" s="23"/>
      <c r="B43" s="24"/>
      <c r="C43" s="24"/>
    </row>
    <row r="44" spans="1:5" ht="14.55" customHeight="1">
      <c r="A44" s="23"/>
      <c r="B44" s="23"/>
      <c r="C44" s="23"/>
    </row>
    <row r="45" spans="1:5" ht="14.55" customHeight="1">
      <c r="A45" s="23"/>
      <c r="B45" s="23"/>
      <c r="C45" s="23"/>
    </row>
    <row r="46" spans="1:5" ht="14.55" customHeight="1">
      <c r="A46" s="23"/>
      <c r="B46" s="23"/>
      <c r="C46" s="23"/>
    </row>
    <row r="47" spans="1:5" ht="14.55" customHeight="1">
      <c r="A47" s="2"/>
      <c r="B47" s="2"/>
      <c r="C47" s="2"/>
    </row>
    <row r="48" spans="1:5" ht="14.55" customHeight="1">
      <c r="A48" s="2"/>
      <c r="B48" s="2"/>
      <c r="C48" s="2"/>
    </row>
    <row r="49" spans="1:3" ht="14.55" customHeight="1">
      <c r="A49" s="2"/>
      <c r="B49" s="2"/>
      <c r="C49" s="2"/>
    </row>
    <row r="50" spans="1:3" ht="14.55" customHeight="1">
      <c r="A50" s="2"/>
      <c r="B50" s="2"/>
      <c r="C50" s="2"/>
    </row>
    <row r="51" spans="1:3" ht="14.55" customHeight="1">
      <c r="A51" s="2"/>
      <c r="B51" s="2"/>
      <c r="C51" s="2"/>
    </row>
    <row r="52" spans="1:3" ht="14.55" customHeight="1">
      <c r="A52" s="2"/>
      <c r="B52" s="2"/>
      <c r="C52" s="2"/>
    </row>
    <row r="53" spans="1:3" ht="14.55" customHeight="1">
      <c r="A53" s="2"/>
      <c r="B53" s="2"/>
      <c r="C53" s="2"/>
    </row>
    <row r="54" spans="1:3" ht="14.55" customHeight="1">
      <c r="A54" s="2"/>
      <c r="B54" s="2"/>
      <c r="C54" s="2"/>
    </row>
  </sheetData>
  <mergeCells count="4">
    <mergeCell ref="A12:E12"/>
    <mergeCell ref="A9:E9"/>
    <mergeCell ref="A10:E10"/>
    <mergeCell ref="A11:E11"/>
  </mergeCells>
  <phoneticPr fontId="13" type="noConversion"/>
  <pageMargins left="0.39370078740157483" right="0.39370078740157483" top="1.4285714285714286" bottom="0.74803149606299213" header="0.31496062992125984" footer="0.31496062992125984"/>
  <pageSetup paperSize="9" orientation="landscape" r:id="rId1"/>
  <headerFooter>
    <oddHeader xml:space="preserve">&amp;L&amp;G
&amp;C&amp;10IREC SA CUP 2018
TEAM LAUSANNE
&amp;K04+024Subsystem
Title Table Template&amp;R&amp;K000000Doc-No.: 2018_SE_XX_0001
Issue:                       1  &amp;K04+000  &amp;K000000           
Category:               XXXXX
Date:   &amp;D
Page:              &amp;P of &amp;N
</oddHeader>
    <oddFooter>&amp;L&amp;10&amp;K000000INTERNAL USE ONLY&amp;C&amp;10&amp;K000000© EPFL Rocket Team 2018. This document shall not be used for other purposes than those for which it was established. No unauthorised distribution, dissemination or disclosure.&amp;11
&amp;R&amp;10&amp;K000000UNCLASSIFIED</oddFooter>
  </headerFooter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54"/>
  <sheetViews>
    <sheetView showGridLines="0" workbookViewId="0">
      <selection activeCell="E5" sqref="E5:E7"/>
    </sheetView>
  </sheetViews>
  <sheetFormatPr baseColWidth="10" defaultColWidth="11.44140625" defaultRowHeight="14.55" customHeight="1"/>
  <cols>
    <col min="1" max="1" width="12.77734375" style="9" customWidth="1"/>
    <col min="2" max="2" width="43.109375" style="9" bestFit="1" customWidth="1"/>
    <col min="3" max="3" width="5.109375" style="17" bestFit="1" customWidth="1"/>
    <col min="4" max="4" width="11.109375" style="17" bestFit="1" customWidth="1"/>
    <col min="5" max="5" width="18.44140625" style="9" bestFit="1" customWidth="1"/>
    <col min="6" max="6" width="17.44140625" style="9" customWidth="1"/>
    <col min="7" max="7" width="12.44140625" style="9" bestFit="1" customWidth="1"/>
    <col min="8" max="8" width="13.44140625" style="9" bestFit="1" customWidth="1"/>
    <col min="9" max="16384" width="11.44140625" style="9"/>
  </cols>
  <sheetData>
    <row r="1" spans="1:60" ht="14.4">
      <c r="A1" s="11" t="s">
        <v>25</v>
      </c>
      <c r="B1" s="11" t="s">
        <v>17</v>
      </c>
      <c r="C1" s="11"/>
      <c r="D1" s="8"/>
      <c r="E1" s="7"/>
    </row>
    <row r="2" spans="1:60" ht="14.4">
      <c r="A2" s="10" t="s">
        <v>24</v>
      </c>
      <c r="B2" s="10" t="s">
        <v>23</v>
      </c>
      <c r="C2" s="10"/>
      <c r="D2" s="10"/>
      <c r="E2" s="10"/>
    </row>
    <row r="3" spans="1:60" ht="14.4">
      <c r="B3" s="15"/>
      <c r="C3" s="9"/>
    </row>
    <row r="4" spans="1:60" s="17" customFormat="1" ht="28.05" customHeight="1">
      <c r="A4" s="36" t="s">
        <v>6</v>
      </c>
      <c r="B4" s="36" t="s">
        <v>7</v>
      </c>
      <c r="C4" s="36" t="s">
        <v>29</v>
      </c>
      <c r="D4" s="37" t="s">
        <v>43</v>
      </c>
      <c r="E4" s="37" t="s">
        <v>30</v>
      </c>
      <c r="F4" s="38" t="s">
        <v>44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</row>
    <row r="5" spans="1:60" ht="13.05" customHeight="1">
      <c r="A5" s="34">
        <v>15100</v>
      </c>
      <c r="B5" s="35" t="s">
        <v>53</v>
      </c>
      <c r="C5" s="34">
        <v>1</v>
      </c>
      <c r="D5" s="35">
        <v>40.432000000000002</v>
      </c>
      <c r="E5" s="34">
        <v>0</v>
      </c>
      <c r="F5" s="47">
        <f>ABopt2[[#This Row],['#]]*ABopt2[[#This Row],[Mass
'[g']]]*(1+ABopt2[[#This Row],[Contingency
'[%']]]/100)</f>
        <v>40.432000000000002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</row>
    <row r="6" spans="1:60" ht="13.05" customHeight="1">
      <c r="A6" s="34">
        <v>15200</v>
      </c>
      <c r="B6" s="35" t="s">
        <v>54</v>
      </c>
      <c r="C6" s="34">
        <v>1</v>
      </c>
      <c r="D6" s="35">
        <v>166.3</v>
      </c>
      <c r="E6" s="34">
        <v>0</v>
      </c>
      <c r="F6" s="47">
        <f>ABopt2[[#This Row],['#]]*ABopt2[[#This Row],[Mass
'[g']]]*(1+ABopt2[[#This Row],[Contingency
'[%']]]/100)</f>
        <v>166.3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</row>
    <row r="7" spans="1:60" ht="13.05" customHeight="1">
      <c r="A7" s="34">
        <v>15300</v>
      </c>
      <c r="B7" s="35" t="s">
        <v>55</v>
      </c>
      <c r="C7" s="34">
        <v>1</v>
      </c>
      <c r="D7" s="35">
        <v>632.20000000000005</v>
      </c>
      <c r="E7" s="34">
        <v>0</v>
      </c>
      <c r="F7" s="47">
        <f>ABopt2[[#This Row],['#]]*ABopt2[[#This Row],[Mass
'[g']]]*(1+ABopt2[[#This Row],[Contingency
'[%']]]/100)</f>
        <v>632.20000000000005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</row>
    <row r="8" spans="1:60" ht="13.05" customHeight="1">
      <c r="A8" s="50" t="s">
        <v>15</v>
      </c>
      <c r="B8" s="51"/>
      <c r="C8" s="51"/>
      <c r="D8" s="51"/>
      <c r="E8" s="51"/>
      <c r="F8" s="41">
        <f>SUBTOTAL(109,ABopt2[Mass w. contingency
'[g']])</f>
        <v>838.93200000000002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</row>
    <row r="9" spans="1:60" ht="13.05" customHeight="1">
      <c r="A9" s="62" t="s">
        <v>27</v>
      </c>
      <c r="B9" s="65"/>
      <c r="C9" s="65"/>
      <c r="D9" s="65"/>
      <c r="E9" s="66"/>
      <c r="F9" s="42">
        <v>0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</row>
    <row r="10" spans="1:60" ht="13.05" customHeight="1">
      <c r="A10" s="62" t="s">
        <v>28</v>
      </c>
      <c r="B10" s="63"/>
      <c r="C10" s="63"/>
      <c r="D10" s="63"/>
      <c r="E10" s="64"/>
      <c r="F10" s="42">
        <f>ABopt2[[#Totals],[Mass w. contingency
'[g']]]*(1+F9/100)</f>
        <v>838.93200000000002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</row>
    <row r="11" spans="1:60" ht="13.05" customHeight="1">
      <c r="A11" s="62" t="s">
        <v>11</v>
      </c>
      <c r="B11" s="63"/>
      <c r="C11" s="63"/>
      <c r="D11" s="63"/>
      <c r="E11" s="64"/>
      <c r="F11" s="42">
        <f>Rocket!E10</f>
        <v>1400</v>
      </c>
    </row>
    <row r="12" spans="1:60" ht="13.05" customHeight="1">
      <c r="A12" s="62" t="s">
        <v>12</v>
      </c>
      <c r="B12" s="63"/>
      <c r="C12" s="63"/>
      <c r="D12" s="63"/>
      <c r="E12" s="64"/>
      <c r="F12" s="42">
        <f>F11-F10</f>
        <v>561.06799999999998</v>
      </c>
    </row>
    <row r="13" spans="1:60" ht="14.4">
      <c r="A13" s="2"/>
      <c r="B13" s="5"/>
      <c r="C13" s="4"/>
      <c r="D13" s="3"/>
      <c r="E13" s="2"/>
    </row>
    <row r="14" spans="1:60" ht="14.55" customHeight="1">
      <c r="A14" s="2"/>
      <c r="B14" s="5"/>
      <c r="C14" s="4"/>
      <c r="D14" s="21"/>
      <c r="E14" s="2"/>
    </row>
    <row r="15" spans="1:60" s="20" customFormat="1" ht="14.55" customHeight="1">
      <c r="A15" s="2"/>
      <c r="B15" s="4"/>
      <c r="C15" s="4"/>
      <c r="D15" s="21"/>
      <c r="E15" s="2"/>
      <c r="F15" s="9"/>
    </row>
    <row r="16" spans="1:60" ht="14.55" customHeight="1">
      <c r="A16" s="2"/>
      <c r="B16" s="4"/>
      <c r="C16" s="4"/>
      <c r="D16" s="3"/>
      <c r="E16" s="2"/>
    </row>
    <row r="17" spans="1:6" ht="14.55" customHeight="1">
      <c r="A17" s="2"/>
      <c r="B17" s="4"/>
      <c r="C17" s="6"/>
      <c r="D17" s="3"/>
      <c r="E17" s="2"/>
    </row>
    <row r="18" spans="1:6" ht="14.55" customHeight="1">
      <c r="A18" s="2"/>
      <c r="B18" s="4"/>
      <c r="C18" s="6"/>
      <c r="D18" s="21"/>
      <c r="E18" s="2"/>
    </row>
    <row r="19" spans="1:6" ht="21.75" customHeight="1">
      <c r="A19" s="2"/>
      <c r="B19" s="1"/>
      <c r="C19" s="1"/>
      <c r="D19" s="3"/>
      <c r="E19" s="2"/>
    </row>
    <row r="20" spans="1:6" ht="14.55" customHeight="1">
      <c r="A20" s="2"/>
      <c r="B20" s="1"/>
      <c r="C20" s="1"/>
      <c r="D20" s="3"/>
      <c r="E20" s="2"/>
    </row>
    <row r="21" spans="1:6" ht="14.4">
      <c r="A21" s="2"/>
      <c r="B21" s="1"/>
      <c r="C21" s="1"/>
      <c r="D21" s="2"/>
      <c r="E21" s="2"/>
    </row>
    <row r="22" spans="1:6" ht="14.55" customHeight="1">
      <c r="A22" s="2"/>
      <c r="B22" s="1"/>
      <c r="C22" s="22"/>
      <c r="D22" s="3"/>
      <c r="E22" s="2"/>
    </row>
    <row r="23" spans="1:6" ht="14.55" customHeight="1">
      <c r="A23" s="2"/>
      <c r="B23" s="3"/>
      <c r="C23" s="3"/>
      <c r="D23" s="2"/>
      <c r="E23" s="2"/>
    </row>
    <row r="24" spans="1:6" ht="14.55" customHeight="1">
      <c r="A24" s="2"/>
      <c r="B24" s="3"/>
      <c r="C24" s="3"/>
      <c r="D24" s="3"/>
      <c r="E24" s="2"/>
    </row>
    <row r="25" spans="1:6" ht="14.55" customHeight="1">
      <c r="A25" s="2"/>
      <c r="B25" s="21"/>
      <c r="C25" s="21"/>
      <c r="D25" s="3"/>
      <c r="E25" s="2"/>
    </row>
    <row r="26" spans="1:6" ht="14.55" customHeight="1">
      <c r="A26" s="2"/>
      <c r="B26" s="21"/>
      <c r="C26" s="21"/>
      <c r="D26" s="21"/>
      <c r="E26" s="2"/>
    </row>
    <row r="27" spans="1:6" ht="14.55" customHeight="1">
      <c r="A27" s="2"/>
      <c r="B27" s="3"/>
      <c r="C27" s="21"/>
      <c r="D27" s="21"/>
      <c r="E27" s="2"/>
      <c r="F27" s="20"/>
    </row>
    <row r="28" spans="1:6" ht="14.55" customHeight="1">
      <c r="A28" s="2"/>
      <c r="B28" s="3"/>
      <c r="C28" s="3"/>
      <c r="D28" s="21"/>
      <c r="E28" s="2"/>
      <c r="F28" s="20"/>
    </row>
    <row r="29" spans="1:6" ht="14.55" customHeight="1">
      <c r="A29" s="2"/>
      <c r="B29" s="3"/>
      <c r="C29" s="3"/>
      <c r="D29" s="3"/>
      <c r="E29" s="2"/>
    </row>
    <row r="30" spans="1:6" ht="14.55" customHeight="1">
      <c r="A30" s="2"/>
      <c r="B30" s="3"/>
      <c r="C30" s="3"/>
      <c r="D30" s="3"/>
      <c r="E30" s="2"/>
    </row>
    <row r="31" spans="1:6" ht="14.55" customHeight="1">
      <c r="A31" s="2"/>
      <c r="B31" s="3"/>
      <c r="C31" s="3"/>
      <c r="D31" s="3"/>
      <c r="E31" s="2"/>
    </row>
    <row r="32" spans="1:6" ht="14.55" customHeight="1">
      <c r="A32" s="2"/>
      <c r="B32" s="3"/>
      <c r="C32" s="3"/>
      <c r="D32" s="2"/>
      <c r="E32" s="2"/>
    </row>
    <row r="33" spans="1:6" s="20" customFormat="1" ht="14.55" customHeight="1">
      <c r="A33" s="2"/>
      <c r="B33" s="2"/>
      <c r="C33" s="2"/>
      <c r="D33" s="2"/>
      <c r="E33" s="2"/>
      <c r="F33" s="9"/>
    </row>
    <row r="34" spans="1:6" s="20" customFormat="1" ht="14.55" customHeight="1">
      <c r="A34" s="2"/>
      <c r="B34" s="2"/>
      <c r="C34" s="2"/>
      <c r="D34" s="2"/>
      <c r="E34" s="2"/>
      <c r="F34" s="9"/>
    </row>
    <row r="35" spans="1:6" ht="14.55" customHeight="1">
      <c r="A35" s="2"/>
      <c r="B35" s="2"/>
      <c r="C35" s="2"/>
      <c r="D35" s="2"/>
    </row>
    <row r="36" spans="1:6" ht="14.55" customHeight="1">
      <c r="A36" s="23"/>
      <c r="B36" s="24"/>
      <c r="C36" s="24"/>
      <c r="D36" s="2"/>
    </row>
    <row r="37" spans="1:6" ht="14.55" customHeight="1">
      <c r="A37" s="2"/>
      <c r="B37" s="3"/>
      <c r="C37" s="3"/>
      <c r="D37" s="2"/>
    </row>
    <row r="38" spans="1:6" ht="14.55" customHeight="1">
      <c r="A38" s="23"/>
      <c r="B38" s="24"/>
      <c r="C38" s="24"/>
      <c r="D38" s="2"/>
    </row>
    <row r="39" spans="1:6" ht="14.55" customHeight="1">
      <c r="A39" s="2"/>
      <c r="B39" s="3"/>
      <c r="C39" s="24"/>
      <c r="D39" s="2"/>
    </row>
    <row r="40" spans="1:6" ht="14.55" customHeight="1">
      <c r="A40" s="2"/>
      <c r="B40" s="3"/>
      <c r="C40" s="3"/>
      <c r="D40" s="2"/>
    </row>
    <row r="41" spans="1:6" ht="14.55" customHeight="1">
      <c r="A41" s="23"/>
      <c r="B41" s="24"/>
      <c r="C41" s="24"/>
      <c r="D41" s="2"/>
    </row>
    <row r="42" spans="1:6" ht="14.55" customHeight="1">
      <c r="A42" s="23"/>
      <c r="B42" s="24"/>
      <c r="C42" s="24"/>
      <c r="D42" s="2"/>
    </row>
    <row r="43" spans="1:6" ht="14.55" customHeight="1">
      <c r="A43" s="23"/>
      <c r="B43" s="24"/>
      <c r="C43" s="24"/>
      <c r="D43" s="9"/>
    </row>
    <row r="44" spans="1:6" ht="14.55" customHeight="1">
      <c r="A44" s="23"/>
      <c r="B44" s="23"/>
      <c r="C44" s="23"/>
      <c r="D44" s="9"/>
    </row>
    <row r="45" spans="1:6" ht="14.55" customHeight="1">
      <c r="A45" s="23"/>
      <c r="B45" s="23"/>
      <c r="C45" s="23"/>
      <c r="D45" s="9"/>
    </row>
    <row r="46" spans="1:6" ht="14.55" customHeight="1">
      <c r="A46" s="23"/>
      <c r="B46" s="23"/>
      <c r="C46" s="23"/>
      <c r="D46" s="9"/>
    </row>
    <row r="47" spans="1:6" ht="14.55" customHeight="1">
      <c r="A47" s="2"/>
      <c r="B47" s="2"/>
      <c r="C47" s="2"/>
      <c r="D47" s="9"/>
    </row>
    <row r="48" spans="1:6" ht="14.55" customHeight="1">
      <c r="A48" s="2"/>
      <c r="B48" s="2"/>
      <c r="C48" s="2"/>
      <c r="D48" s="9"/>
    </row>
    <row r="49" spans="1:4" ht="14.55" customHeight="1">
      <c r="A49" s="2"/>
      <c r="B49" s="2"/>
      <c r="C49" s="2"/>
      <c r="D49" s="9"/>
    </row>
    <row r="50" spans="1:4" ht="14.55" customHeight="1">
      <c r="A50" s="2"/>
      <c r="B50" s="2"/>
      <c r="C50" s="2"/>
      <c r="D50" s="9"/>
    </row>
    <row r="51" spans="1:4" ht="14.55" customHeight="1">
      <c r="A51" s="2"/>
      <c r="B51" s="2"/>
      <c r="C51" s="2"/>
      <c r="D51" s="9"/>
    </row>
    <row r="52" spans="1:4" ht="14.55" customHeight="1">
      <c r="A52" s="2"/>
      <c r="B52" s="2"/>
      <c r="C52" s="2"/>
      <c r="D52" s="9"/>
    </row>
    <row r="53" spans="1:4" ht="14.55" customHeight="1">
      <c r="A53" s="2"/>
      <c r="B53" s="2"/>
      <c r="C53" s="2"/>
      <c r="D53" s="9"/>
    </row>
    <row r="54" spans="1:4" ht="14.55" customHeight="1">
      <c r="A54" s="2"/>
      <c r="B54" s="2"/>
      <c r="C54" s="2"/>
      <c r="D54" s="9"/>
    </row>
  </sheetData>
  <mergeCells count="4">
    <mergeCell ref="A12:E12"/>
    <mergeCell ref="A11:E11"/>
    <mergeCell ref="A9:E9"/>
    <mergeCell ref="A10:E10"/>
  </mergeCells>
  <phoneticPr fontId="13" type="noConversion"/>
  <pageMargins left="0.39370078740157483" right="0.39370078740157483" top="1.4285714285714286" bottom="0.74803149606299213" header="0.31496062992125984" footer="0.31496062992125984"/>
  <pageSetup paperSize="9" orientation="landscape" r:id="rId1"/>
  <headerFooter>
    <oddHeader xml:space="preserve">&amp;L&amp;G
&amp;C&amp;10IREC SA CUP 2018
TEAM LAUSANNE
&amp;K04+024Subsystem
Title Table Template&amp;R&amp;K000000Doc-No.: 2018_SE_XX_0001
Issue:                       1  &amp;K04+000  &amp;K000000           
Category:               XXXXX
Date:   &amp;D
Page:              &amp;P of &amp;N
</oddHeader>
    <oddFooter>&amp;L&amp;10&amp;K000000INTERNAL USE ONLY&amp;C&amp;10&amp;K000000© EPFL Rocket Team 2018. This document shall not be used for other purposes than those for which it was established. No unauthorised distribution, dissemination or disclosure.&amp;11
&amp;R&amp;10&amp;K000000UNCLASSIFIED</oddFooter>
  </headerFooter>
  <legacyDrawingHF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H57"/>
  <sheetViews>
    <sheetView showGridLines="0" workbookViewId="0">
      <selection activeCell="E24" sqref="E24"/>
    </sheetView>
  </sheetViews>
  <sheetFormatPr baseColWidth="10" defaultColWidth="11.44140625" defaultRowHeight="14.55" customHeight="1"/>
  <cols>
    <col min="1" max="1" width="12.77734375" style="9" customWidth="1"/>
    <col min="2" max="2" width="43.109375" style="9" bestFit="1" customWidth="1"/>
    <col min="3" max="3" width="6" style="17" bestFit="1" customWidth="1"/>
    <col min="4" max="4" width="11.109375" style="17" bestFit="1" customWidth="1"/>
    <col min="5" max="5" width="18.44140625" style="9" bestFit="1" customWidth="1"/>
    <col min="6" max="6" width="17.44140625" style="9" customWidth="1"/>
    <col min="7" max="7" width="12.44140625" style="9" bestFit="1" customWidth="1"/>
    <col min="8" max="8" width="13.44140625" style="9" bestFit="1" customWidth="1"/>
    <col min="9" max="16384" width="11.44140625" style="9"/>
  </cols>
  <sheetData>
    <row r="1" spans="1:60" ht="14.4">
      <c r="A1" s="11" t="s">
        <v>25</v>
      </c>
      <c r="B1" s="11" t="s">
        <v>18</v>
      </c>
      <c r="C1" s="11"/>
      <c r="D1" s="8"/>
      <c r="E1" s="7"/>
    </row>
    <row r="2" spans="1:60" ht="14.4">
      <c r="A2" s="10" t="s">
        <v>24</v>
      </c>
      <c r="B2" s="10" t="s">
        <v>33</v>
      </c>
      <c r="C2" s="10"/>
      <c r="D2" s="10"/>
      <c r="E2" s="10"/>
    </row>
    <row r="3" spans="1:60" ht="14.4">
      <c r="B3" s="15"/>
      <c r="C3" s="9"/>
    </row>
    <row r="4" spans="1:60" s="17" customFormat="1" ht="28.05" customHeight="1">
      <c r="A4" s="36" t="s">
        <v>6</v>
      </c>
      <c r="B4" s="36" t="s">
        <v>7</v>
      </c>
      <c r="C4" s="36" t="s">
        <v>29</v>
      </c>
      <c r="D4" s="37" t="s">
        <v>43</v>
      </c>
      <c r="E4" s="37" t="s">
        <v>30</v>
      </c>
      <c r="F4" s="38" t="s">
        <v>44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</row>
    <row r="5" spans="1:60" ht="13.05" customHeight="1">
      <c r="A5" s="34">
        <v>14100</v>
      </c>
      <c r="B5" s="35" t="s">
        <v>80</v>
      </c>
      <c r="C5" s="34">
        <v>1</v>
      </c>
      <c r="D5" s="35">
        <v>41.5</v>
      </c>
      <c r="E5" s="34">
        <v>0</v>
      </c>
      <c r="F5" s="47">
        <f>AVMopt1[[#This Row],['#]]*AVMopt1[[#This Row],[Mass
'[g']]]*(1+AVMopt1[[#This Row],[Contingency
'[%']]]/100)</f>
        <v>41.5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</row>
    <row r="6" spans="1:60" ht="13.05" customHeight="1">
      <c r="A6" s="34">
        <v>14300</v>
      </c>
      <c r="B6" s="35" t="s">
        <v>56</v>
      </c>
      <c r="C6" s="34">
        <v>2</v>
      </c>
      <c r="D6" s="35">
        <v>20</v>
      </c>
      <c r="E6" s="34">
        <v>0</v>
      </c>
      <c r="F6" s="47">
        <f>AVMopt1[[#This Row],['#]]*AVMopt1[[#This Row],[Mass
'[g']]]*(1+AVMopt1[[#This Row],[Contingency
'[%']]]/100)</f>
        <v>40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</row>
    <row r="7" spans="1:60" ht="13.05" customHeight="1">
      <c r="A7" s="34">
        <v>14107</v>
      </c>
      <c r="B7" s="35" t="s">
        <v>63</v>
      </c>
      <c r="C7" s="34">
        <v>2</v>
      </c>
      <c r="D7" s="35">
        <v>55.2</v>
      </c>
      <c r="E7" s="34">
        <v>0</v>
      </c>
      <c r="F7" s="47">
        <f>AVMopt1[[#This Row],['#]]*AVMopt1[[#This Row],[Mass
'[g']]]*(1+AVMopt1[[#This Row],[Contingency
'[%']]]/100)</f>
        <v>110.4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</row>
    <row r="8" spans="1:60" ht="13.05" customHeight="1">
      <c r="A8" s="34">
        <v>14104</v>
      </c>
      <c r="B8" s="35" t="s">
        <v>81</v>
      </c>
      <c r="C8" s="34">
        <v>1</v>
      </c>
      <c r="D8" s="35">
        <v>400.4</v>
      </c>
      <c r="E8" s="34">
        <v>0</v>
      </c>
      <c r="F8" s="47">
        <f>AVMopt1[[#This Row],['#]]*AVMopt1[[#This Row],[Mass
'[g']]]*(1+AVMopt1[[#This Row],[Contingency
'[%']]]/100)</f>
        <v>400.4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</row>
    <row r="9" spans="1:60" ht="13.05" customHeight="1">
      <c r="A9" s="34">
        <v>14100</v>
      </c>
      <c r="B9" s="35" t="s">
        <v>82</v>
      </c>
      <c r="C9" s="34">
        <v>1</v>
      </c>
      <c r="D9" s="35">
        <v>500</v>
      </c>
      <c r="E9" s="34">
        <v>0</v>
      </c>
      <c r="F9" s="47">
        <f>AVMopt1[[#This Row],['#]]*AVMopt1[[#This Row],[Mass
'[g']]]*(1+AVMopt1[[#This Row],[Contingency
'[%']]]/100)</f>
        <v>500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</row>
    <row r="10" spans="1:60" ht="13.05" customHeight="1">
      <c r="A10" s="34">
        <v>14700</v>
      </c>
      <c r="B10" s="35" t="s">
        <v>64</v>
      </c>
      <c r="C10" s="34">
        <v>4</v>
      </c>
      <c r="D10" s="35">
        <v>28.4</v>
      </c>
      <c r="E10" s="34">
        <v>0</v>
      </c>
      <c r="F10" s="47">
        <f>AVMopt1[[#This Row],['#]]*AVMopt1[[#This Row],[Mass
'[g']]]*(1+AVMopt1[[#This Row],[Contingency
'[%']]]/100)</f>
        <v>113.6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</row>
    <row r="11" spans="1:60" ht="13.05" customHeight="1">
      <c r="A11" s="40" t="s">
        <v>15</v>
      </c>
      <c r="B11" s="41"/>
      <c r="C11" s="41"/>
      <c r="D11" s="41"/>
      <c r="E11" s="41"/>
      <c r="F11" s="41">
        <f>SUBTOTAL(109,AVMopt1[Mass w. contingency
'[g']])</f>
        <v>1205.8999999999999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</row>
    <row r="12" spans="1:60" ht="13.05" customHeight="1">
      <c r="A12" s="62" t="s">
        <v>27</v>
      </c>
      <c r="B12" s="63"/>
      <c r="C12" s="63"/>
      <c r="D12" s="63"/>
      <c r="E12" s="64"/>
      <c r="F12" s="42">
        <v>0</v>
      </c>
    </row>
    <row r="13" spans="1:60" ht="13.05" customHeight="1">
      <c r="A13" s="62" t="s">
        <v>28</v>
      </c>
      <c r="B13" s="63"/>
      <c r="C13" s="63"/>
      <c r="D13" s="63"/>
      <c r="E13" s="64"/>
      <c r="F13" s="42">
        <f>AVMopt1[[#Totals],[Mass w. contingency
'[g']]]*(1+F12/100)</f>
        <v>1205.8999999999999</v>
      </c>
    </row>
    <row r="14" spans="1:60" ht="13.05" customHeight="1">
      <c r="A14" s="62" t="s">
        <v>11</v>
      </c>
      <c r="B14" s="63"/>
      <c r="C14" s="63"/>
      <c r="D14" s="63"/>
      <c r="E14" s="64"/>
      <c r="F14" s="42">
        <f>Rocket!E11</f>
        <v>1750</v>
      </c>
    </row>
    <row r="15" spans="1:60" ht="13.05" customHeight="1">
      <c r="A15" s="62" t="s">
        <v>12</v>
      </c>
      <c r="B15" s="63"/>
      <c r="C15" s="63"/>
      <c r="D15" s="63"/>
      <c r="E15" s="64"/>
      <c r="F15" s="42">
        <f>F14-F13</f>
        <v>544.10000000000014</v>
      </c>
    </row>
    <row r="16" spans="1:60" ht="14.55" customHeight="1">
      <c r="A16" s="2"/>
      <c r="B16" s="5"/>
      <c r="C16" s="4"/>
      <c r="E16" s="2"/>
    </row>
    <row r="17" spans="1:6" ht="14.55" customHeight="1">
      <c r="A17" s="2"/>
      <c r="B17" s="5"/>
      <c r="C17" s="4"/>
      <c r="D17" s="21"/>
      <c r="E17" s="2"/>
    </row>
    <row r="18" spans="1:6" s="20" customFormat="1" ht="14.55" customHeight="1">
      <c r="A18" s="2"/>
      <c r="B18" s="4"/>
      <c r="C18" s="4"/>
      <c r="F18" s="9"/>
    </row>
    <row r="19" spans="1:6" ht="14.55" customHeight="1">
      <c r="A19" s="2"/>
      <c r="B19" s="4"/>
      <c r="C19" s="4"/>
      <c r="D19" s="3"/>
      <c r="E19" s="2"/>
    </row>
    <row r="20" spans="1:6" ht="14.55" customHeight="1">
      <c r="A20" s="2"/>
      <c r="B20" s="4"/>
      <c r="C20" s="6"/>
      <c r="D20" s="3"/>
      <c r="E20" s="2"/>
    </row>
    <row r="21" spans="1:6" ht="14.55" customHeight="1">
      <c r="A21" s="2"/>
      <c r="B21" s="4"/>
      <c r="C21" s="6"/>
      <c r="D21" s="21"/>
      <c r="E21" s="2"/>
    </row>
    <row r="22" spans="1:6" ht="21.75" customHeight="1">
      <c r="A22" s="2"/>
      <c r="B22" s="1"/>
      <c r="C22" s="1"/>
      <c r="D22" s="3"/>
      <c r="E22" s="2"/>
    </row>
    <row r="23" spans="1:6" ht="14.55" customHeight="1">
      <c r="A23" s="2"/>
      <c r="B23" s="1"/>
      <c r="C23" s="1"/>
      <c r="D23" s="3"/>
      <c r="E23" s="2"/>
    </row>
    <row r="24" spans="1:6" ht="14.4">
      <c r="A24" s="2"/>
      <c r="B24" s="1"/>
      <c r="C24" s="1"/>
      <c r="D24" s="2"/>
      <c r="E24" s="2"/>
    </row>
    <row r="25" spans="1:6" ht="14.55" customHeight="1">
      <c r="A25" s="2"/>
      <c r="B25" s="1"/>
      <c r="C25" s="22"/>
      <c r="D25" s="3"/>
      <c r="E25" s="2"/>
    </row>
    <row r="26" spans="1:6" ht="14.55" customHeight="1">
      <c r="A26" s="2"/>
      <c r="B26" s="3"/>
      <c r="C26" s="3"/>
      <c r="D26" s="2"/>
      <c r="E26" s="2"/>
    </row>
    <row r="27" spans="1:6" ht="14.55" customHeight="1">
      <c r="A27" s="2"/>
      <c r="B27" s="3"/>
      <c r="C27" s="3"/>
      <c r="D27" s="3"/>
      <c r="E27" s="2"/>
    </row>
    <row r="28" spans="1:6" ht="14.55" customHeight="1">
      <c r="A28" s="2"/>
      <c r="B28" s="21"/>
      <c r="C28" s="21"/>
      <c r="D28" s="3"/>
      <c r="E28" s="2"/>
    </row>
    <row r="29" spans="1:6" ht="14.55" customHeight="1">
      <c r="A29" s="2"/>
      <c r="B29" s="21"/>
      <c r="C29" s="21"/>
      <c r="D29" s="21"/>
      <c r="E29" s="2"/>
    </row>
    <row r="30" spans="1:6" ht="14.55" customHeight="1">
      <c r="A30" s="2"/>
      <c r="B30" s="3"/>
      <c r="C30" s="21"/>
      <c r="D30" s="21"/>
      <c r="E30" s="2"/>
      <c r="F30" s="20"/>
    </row>
    <row r="31" spans="1:6" ht="14.55" customHeight="1">
      <c r="A31" s="2"/>
      <c r="B31" s="3"/>
      <c r="C31" s="3"/>
      <c r="D31" s="21"/>
      <c r="E31" s="2"/>
      <c r="F31" s="20"/>
    </row>
    <row r="32" spans="1:6" ht="14.55" customHeight="1">
      <c r="A32" s="2"/>
      <c r="B32" s="3"/>
      <c r="C32" s="3"/>
      <c r="D32" s="3"/>
      <c r="E32" s="2"/>
    </row>
    <row r="33" spans="1:6" ht="14.55" customHeight="1">
      <c r="A33" s="2"/>
      <c r="B33" s="3"/>
      <c r="C33" s="3"/>
      <c r="D33" s="3"/>
      <c r="E33" s="2"/>
    </row>
    <row r="34" spans="1:6" ht="14.55" customHeight="1">
      <c r="A34" s="2"/>
      <c r="B34" s="3"/>
      <c r="C34" s="3"/>
      <c r="D34" s="3"/>
      <c r="E34" s="2"/>
    </row>
    <row r="35" spans="1:6" ht="14.55" customHeight="1">
      <c r="A35" s="2"/>
      <c r="B35" s="3"/>
      <c r="C35" s="3"/>
      <c r="D35" s="2"/>
      <c r="E35" s="2"/>
    </row>
    <row r="36" spans="1:6" s="20" customFormat="1" ht="14.55" customHeight="1">
      <c r="A36" s="2"/>
      <c r="B36" s="2"/>
      <c r="C36" s="2"/>
      <c r="D36" s="2"/>
      <c r="E36" s="2"/>
      <c r="F36" s="9"/>
    </row>
    <row r="37" spans="1:6" s="20" customFormat="1" ht="14.55" customHeight="1">
      <c r="A37" s="2"/>
      <c r="B37" s="2"/>
      <c r="C37" s="2"/>
      <c r="D37" s="2"/>
      <c r="E37" s="2"/>
      <c r="F37" s="9"/>
    </row>
    <row r="38" spans="1:6" ht="14.55" customHeight="1">
      <c r="A38" s="2"/>
      <c r="B38" s="2"/>
      <c r="C38" s="2"/>
      <c r="D38" s="2"/>
    </row>
    <row r="39" spans="1:6" ht="14.55" customHeight="1">
      <c r="A39" s="23"/>
      <c r="B39" s="24"/>
      <c r="C39" s="24"/>
      <c r="D39" s="2"/>
    </row>
    <row r="40" spans="1:6" ht="14.55" customHeight="1">
      <c r="A40" s="2"/>
      <c r="B40" s="3"/>
      <c r="C40" s="3"/>
      <c r="D40" s="2"/>
    </row>
    <row r="41" spans="1:6" ht="14.55" customHeight="1">
      <c r="A41" s="23"/>
      <c r="B41" s="24"/>
      <c r="C41" s="24"/>
      <c r="D41" s="2"/>
    </row>
    <row r="42" spans="1:6" ht="14.55" customHeight="1">
      <c r="A42" s="2"/>
      <c r="B42" s="3"/>
      <c r="C42" s="24"/>
      <c r="D42" s="2"/>
    </row>
    <row r="43" spans="1:6" ht="14.55" customHeight="1">
      <c r="A43" s="2"/>
      <c r="B43" s="3"/>
      <c r="C43" s="3"/>
      <c r="D43" s="2"/>
    </row>
    <row r="44" spans="1:6" ht="14.55" customHeight="1">
      <c r="A44" s="23"/>
      <c r="B44" s="24"/>
      <c r="C44" s="24"/>
      <c r="D44" s="2"/>
    </row>
    <row r="45" spans="1:6" ht="14.55" customHeight="1">
      <c r="A45" s="23"/>
      <c r="B45" s="24"/>
      <c r="C45" s="24"/>
      <c r="D45" s="2"/>
    </row>
    <row r="46" spans="1:6" ht="14.55" customHeight="1">
      <c r="A46" s="23"/>
      <c r="B46" s="24"/>
      <c r="C46" s="24"/>
    </row>
    <row r="47" spans="1:6" ht="14.55" customHeight="1">
      <c r="A47" s="23"/>
      <c r="B47" s="23"/>
      <c r="C47" s="23"/>
    </row>
    <row r="48" spans="1:6" ht="14.55" customHeight="1">
      <c r="A48" s="23"/>
      <c r="B48" s="23"/>
      <c r="C48" s="23"/>
    </row>
    <row r="49" spans="1:4" ht="14.55" customHeight="1">
      <c r="A49" s="23"/>
      <c r="B49" s="23"/>
      <c r="C49" s="23"/>
    </row>
    <row r="50" spans="1:4" ht="14.55" customHeight="1">
      <c r="A50" s="2"/>
      <c r="B50" s="2"/>
      <c r="C50" s="2"/>
    </row>
    <row r="51" spans="1:4" ht="14.55" customHeight="1">
      <c r="A51" s="2"/>
      <c r="B51" s="2"/>
      <c r="C51" s="2"/>
    </row>
    <row r="52" spans="1:4" ht="14.55" customHeight="1">
      <c r="A52" s="2"/>
      <c r="B52" s="2"/>
      <c r="C52" s="2"/>
    </row>
    <row r="53" spans="1:4" ht="14.55" customHeight="1">
      <c r="A53" s="2"/>
      <c r="B53" s="2"/>
      <c r="C53" s="2"/>
    </row>
    <row r="54" spans="1:4" ht="14.55" customHeight="1">
      <c r="A54" s="2"/>
      <c r="B54" s="2"/>
      <c r="C54" s="2"/>
    </row>
    <row r="55" spans="1:4" ht="14.55" customHeight="1">
      <c r="A55" s="2"/>
      <c r="B55" s="2"/>
      <c r="C55" s="2"/>
    </row>
    <row r="56" spans="1:4" ht="14.55" customHeight="1">
      <c r="A56" s="2"/>
      <c r="B56" s="2"/>
      <c r="C56" s="2"/>
    </row>
    <row r="57" spans="1:4" ht="14.55" customHeight="1">
      <c r="A57" s="2"/>
      <c r="B57" s="2"/>
      <c r="C57" s="2"/>
      <c r="D57" s="9"/>
    </row>
  </sheetData>
  <mergeCells count="4">
    <mergeCell ref="A12:E12"/>
    <mergeCell ref="A13:E13"/>
    <mergeCell ref="A14:E14"/>
    <mergeCell ref="A15:E15"/>
  </mergeCells>
  <phoneticPr fontId="13" type="noConversion"/>
  <pageMargins left="0.39370078740157483" right="0.39370078740157483" top="1.4285714285714286" bottom="0.74803149606299213" header="0.31496062992125984" footer="0.31496062992125984"/>
  <pageSetup paperSize="9" orientation="landscape" r:id="rId1"/>
  <headerFooter>
    <oddHeader xml:space="preserve">&amp;L&amp;G
&amp;C&amp;10IREC SA CUP 2018
TEAM LAUSANNE
&amp;K04+024Subsystem
Title Table Template&amp;R&amp;K000000Doc-No.: 2018_SE_XX_0001
Issue:                       1  &amp;K04+000  &amp;K000000           
Category:               XXXXX
Date:   &amp;D
Page:              &amp;P of &amp;N
</oddHeader>
    <oddFooter>&amp;L&amp;10&amp;K000000INTERNAL USE ONLY&amp;C&amp;10&amp;K000000© EPFL Rocket Team 2018. This document shall not be used for other purposes than those for which it was established. No unauthorised distribution, dissemination or disclosure.&amp;11
&amp;R&amp;10&amp;K000000UNCLASSIFIED</oddFooter>
  </headerFooter>
  <legacyDrawing r:id="rId2"/>
  <legacyDrawingHF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H57"/>
  <sheetViews>
    <sheetView showGridLines="0" topLeftCell="A2" workbookViewId="0">
      <selection activeCell="F34" sqref="F34"/>
    </sheetView>
  </sheetViews>
  <sheetFormatPr baseColWidth="10" defaultColWidth="11.44140625" defaultRowHeight="14.55" customHeight="1"/>
  <cols>
    <col min="1" max="1" width="12.77734375" style="9" customWidth="1"/>
    <col min="2" max="2" width="43.109375" style="9" bestFit="1" customWidth="1"/>
    <col min="3" max="3" width="6" style="17" bestFit="1" customWidth="1"/>
    <col min="4" max="4" width="11.109375" style="17" bestFit="1" customWidth="1"/>
    <col min="5" max="5" width="18.44140625" style="9" bestFit="1" customWidth="1"/>
    <col min="6" max="6" width="17.44140625" style="9" customWidth="1"/>
    <col min="7" max="7" width="12.44140625" style="9" bestFit="1" customWidth="1"/>
    <col min="8" max="8" width="13.44140625" style="9" bestFit="1" customWidth="1"/>
    <col min="9" max="16384" width="11.44140625" style="9"/>
  </cols>
  <sheetData>
    <row r="1" spans="1:60" ht="14.4">
      <c r="A1" s="11" t="s">
        <v>25</v>
      </c>
      <c r="B1" s="11" t="s">
        <v>18</v>
      </c>
      <c r="C1" s="11"/>
      <c r="D1" s="8"/>
      <c r="E1" s="7"/>
    </row>
    <row r="2" spans="1:60" ht="14.4">
      <c r="A2" s="10" t="s">
        <v>24</v>
      </c>
      <c r="B2" s="10" t="s">
        <v>33</v>
      </c>
      <c r="C2" s="10"/>
      <c r="D2" s="10"/>
      <c r="E2" s="10"/>
    </row>
    <row r="3" spans="1:60" ht="14.4">
      <c r="B3" s="15"/>
      <c r="C3" s="9"/>
    </row>
    <row r="4" spans="1:60" s="17" customFormat="1" ht="28.05" customHeight="1">
      <c r="A4" s="36" t="s">
        <v>6</v>
      </c>
      <c r="B4" s="36" t="s">
        <v>7</v>
      </c>
      <c r="C4" s="36" t="s">
        <v>29</v>
      </c>
      <c r="D4" s="37" t="s">
        <v>43</v>
      </c>
      <c r="E4" s="37" t="s">
        <v>30</v>
      </c>
      <c r="F4" s="38" t="s">
        <v>44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</row>
    <row r="5" spans="1:60" s="17" customFormat="1" ht="13.05" customHeight="1">
      <c r="A5" s="43" t="s">
        <v>83</v>
      </c>
      <c r="B5" s="35" t="s">
        <v>65</v>
      </c>
      <c r="C5" s="34">
        <v>1</v>
      </c>
      <c r="D5" s="35">
        <v>149</v>
      </c>
      <c r="E5" s="34">
        <v>0</v>
      </c>
      <c r="F5" s="47">
        <f>AVNopt1[[#This Row],['#]]*AVNopt1[[#This Row],[Mass
'[g']]]*(1+AVNopt1[[#This Row],[Contingency
'[%']]]/100)</f>
        <v>149</v>
      </c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</row>
    <row r="6" spans="1:60" s="17" customFormat="1" ht="13.05" customHeight="1">
      <c r="A6" s="43">
        <v>14204</v>
      </c>
      <c r="B6" s="35" t="s">
        <v>66</v>
      </c>
      <c r="C6" s="34">
        <v>1</v>
      </c>
      <c r="D6" s="35">
        <v>254.2</v>
      </c>
      <c r="E6" s="34">
        <v>0</v>
      </c>
      <c r="F6" s="47">
        <f>AVNopt1[[#This Row],['#]]*AVNopt1[[#This Row],[Mass
'[g']]]*(1+AVNopt1[[#This Row],[Contingency
'[%']]]/100)</f>
        <v>254.2</v>
      </c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</row>
    <row r="7" spans="1:60" s="17" customFormat="1" ht="13.05" customHeight="1">
      <c r="A7" s="43">
        <v>14200</v>
      </c>
      <c r="B7" s="35" t="s">
        <v>84</v>
      </c>
      <c r="C7" s="34">
        <v>1</v>
      </c>
      <c r="D7" s="35">
        <v>85</v>
      </c>
      <c r="E7" s="34">
        <v>0</v>
      </c>
      <c r="F7" s="47">
        <f>AVNopt1[[#This Row],['#]]*AVNopt1[[#This Row],[Mass
'[g']]]*(1+AVNopt1[[#This Row],[Contingency
'[%']]]/100)</f>
        <v>85</v>
      </c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</row>
    <row r="8" spans="1:60" s="17" customFormat="1" ht="13.05" customHeight="1">
      <c r="A8" s="43" t="s">
        <v>85</v>
      </c>
      <c r="B8" s="35" t="s">
        <v>67</v>
      </c>
      <c r="C8" s="34">
        <v>2</v>
      </c>
      <c r="D8" s="35">
        <v>30</v>
      </c>
      <c r="E8" s="34">
        <v>0</v>
      </c>
      <c r="F8" s="47">
        <f>AVNopt1[[#This Row],['#]]*AVNopt1[[#This Row],[Mass
'[g']]]*(1+AVNopt1[[#This Row],[Contingency
'[%']]]/100)</f>
        <v>60</v>
      </c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</row>
    <row r="9" spans="1:60" ht="13.05" customHeight="1">
      <c r="A9" s="43" t="s">
        <v>86</v>
      </c>
      <c r="B9" s="35" t="s">
        <v>68</v>
      </c>
      <c r="C9" s="34">
        <v>1</v>
      </c>
      <c r="D9" s="35">
        <v>95</v>
      </c>
      <c r="E9" s="34">
        <v>0</v>
      </c>
      <c r="F9" s="47">
        <f>AVNopt1[[#This Row],['#]]*AVNopt1[[#This Row],[Mass
'[g']]]*(1+AVNopt1[[#This Row],[Contingency
'[%']]]/100)</f>
        <v>95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</row>
    <row r="10" spans="1:60" ht="13.05" customHeight="1">
      <c r="A10" s="43"/>
      <c r="B10" s="35" t="s">
        <v>94</v>
      </c>
      <c r="C10" s="34">
        <v>1</v>
      </c>
      <c r="D10" s="35">
        <v>40</v>
      </c>
      <c r="E10" s="34">
        <v>0</v>
      </c>
      <c r="F10" s="47">
        <f>AVNopt1[[#This Row],['#]]*AVNopt1[[#This Row],[Mass
'[g']]]*(1+AVNopt1[[#This Row],[Contingency
'[%']]]/100)</f>
        <v>40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</row>
    <row r="11" spans="1:60" ht="13.05" customHeight="1">
      <c r="A11" s="40" t="s">
        <v>15</v>
      </c>
      <c r="B11" s="41"/>
      <c r="C11" s="41"/>
      <c r="D11" s="41"/>
      <c r="E11" s="41"/>
      <c r="F11" s="41">
        <f>SUBTOTAL(109,AVNopt1[Mass w. contingency
'[g']])</f>
        <v>683.2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</row>
    <row r="12" spans="1:60" ht="13.05" customHeight="1">
      <c r="A12" s="62" t="s">
        <v>27</v>
      </c>
      <c r="B12" s="63"/>
      <c r="C12" s="63"/>
      <c r="D12" s="63"/>
      <c r="E12" s="64"/>
      <c r="F12" s="42">
        <v>0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</row>
    <row r="13" spans="1:60" ht="13.05" customHeight="1">
      <c r="A13" s="62" t="s">
        <v>28</v>
      </c>
      <c r="B13" s="63"/>
      <c r="C13" s="63"/>
      <c r="D13" s="63"/>
      <c r="E13" s="64"/>
      <c r="F13" s="42">
        <f>AVNopt1[[#Totals],[Mass w. contingency
'[g']]]*(1+F12/100)</f>
        <v>683.2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</row>
    <row r="14" spans="1:60" ht="13.05" customHeight="1">
      <c r="A14" s="62" t="s">
        <v>11</v>
      </c>
      <c r="B14" s="63"/>
      <c r="C14" s="63"/>
      <c r="D14" s="63"/>
      <c r="E14" s="64"/>
      <c r="F14" s="42">
        <f>Rocket!E12</f>
        <v>1250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</row>
    <row r="15" spans="1:60" ht="13.05" customHeight="1">
      <c r="A15" s="62" t="s">
        <v>12</v>
      </c>
      <c r="B15" s="63"/>
      <c r="C15" s="63"/>
      <c r="D15" s="63"/>
      <c r="E15" s="64"/>
      <c r="F15" s="42">
        <f>F14-F13</f>
        <v>566.79999999999995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</row>
    <row r="16" spans="1:60" ht="14.4">
      <c r="A16" s="2"/>
      <c r="B16" s="5"/>
      <c r="C16" s="4"/>
      <c r="D16" s="3"/>
      <c r="E16" s="2"/>
    </row>
    <row r="17" spans="1:6" ht="14.4">
      <c r="A17" s="2"/>
      <c r="B17" s="5"/>
      <c r="C17" s="4"/>
      <c r="D17" s="21"/>
      <c r="E17" s="2"/>
    </row>
    <row r="18" spans="1:6" ht="14.4">
      <c r="A18" s="2"/>
      <c r="B18" s="4"/>
      <c r="C18" s="4"/>
      <c r="D18" s="21"/>
      <c r="E18" s="2"/>
    </row>
    <row r="19" spans="1:6" ht="14.4">
      <c r="A19" s="2"/>
      <c r="B19" s="4"/>
      <c r="C19" s="4"/>
      <c r="D19" s="3"/>
      <c r="E19" s="2"/>
    </row>
    <row r="20" spans="1:6" ht="14.55" customHeight="1">
      <c r="A20" s="2"/>
      <c r="B20" s="4"/>
      <c r="C20" s="6"/>
      <c r="D20" s="3"/>
      <c r="E20" s="2"/>
    </row>
    <row r="21" spans="1:6" ht="14.55" customHeight="1">
      <c r="A21" s="2"/>
      <c r="B21" s="4"/>
      <c r="C21" s="6"/>
      <c r="D21" s="21"/>
      <c r="E21" s="2"/>
    </row>
    <row r="22" spans="1:6" ht="14.55" customHeight="1">
      <c r="A22" s="2"/>
      <c r="B22" s="1"/>
      <c r="C22" s="1"/>
      <c r="D22" s="3"/>
      <c r="E22" s="2"/>
    </row>
    <row r="23" spans="1:6" ht="14.55" customHeight="1">
      <c r="A23" s="2"/>
      <c r="B23" s="1"/>
      <c r="C23" s="1"/>
      <c r="D23" s="3"/>
      <c r="E23" s="2"/>
    </row>
    <row r="24" spans="1:6" s="20" customFormat="1" ht="14.55" customHeight="1">
      <c r="A24" s="2"/>
      <c r="B24" s="1"/>
      <c r="C24" s="1"/>
      <c r="D24" s="2"/>
      <c r="E24" s="2"/>
      <c r="F24" s="9"/>
    </row>
    <row r="25" spans="1:6" ht="14.55" customHeight="1">
      <c r="A25" s="2"/>
      <c r="B25" s="1"/>
      <c r="C25" s="22"/>
      <c r="D25" s="3"/>
      <c r="E25" s="2"/>
    </row>
    <row r="26" spans="1:6" ht="14.55" customHeight="1">
      <c r="A26" s="2"/>
      <c r="B26" s="3"/>
      <c r="C26" s="3"/>
      <c r="D26" s="2"/>
      <c r="E26" s="2"/>
    </row>
    <row r="27" spans="1:6" ht="14.55" customHeight="1">
      <c r="A27" s="2"/>
      <c r="B27" s="3"/>
      <c r="C27" s="3"/>
      <c r="D27" s="3"/>
      <c r="E27" s="2"/>
    </row>
    <row r="28" spans="1:6" ht="14.4">
      <c r="A28" s="2"/>
      <c r="B28" s="21"/>
      <c r="C28" s="21"/>
      <c r="D28" s="3"/>
      <c r="E28" s="2"/>
    </row>
    <row r="29" spans="1:6" ht="14.4">
      <c r="A29" s="2"/>
      <c r="B29" s="21"/>
      <c r="C29" s="21"/>
      <c r="D29" s="21"/>
      <c r="E29" s="2"/>
    </row>
    <row r="30" spans="1:6" ht="14.55" customHeight="1">
      <c r="A30" s="2"/>
      <c r="B30" s="3"/>
      <c r="C30" s="21"/>
      <c r="D30" s="21"/>
      <c r="E30" s="2"/>
      <c r="F30" s="20"/>
    </row>
    <row r="31" spans="1:6" ht="14.55" customHeight="1">
      <c r="A31" s="2"/>
      <c r="B31" s="3"/>
      <c r="C31" s="3"/>
      <c r="D31" s="21"/>
      <c r="E31" s="2"/>
      <c r="F31" s="20"/>
    </row>
    <row r="32" spans="1:6" ht="14.55" customHeight="1">
      <c r="A32" s="2"/>
      <c r="B32" s="3"/>
      <c r="C32" s="3"/>
      <c r="D32" s="3"/>
      <c r="E32" s="2"/>
    </row>
    <row r="33" spans="1:6" ht="14.55" customHeight="1">
      <c r="A33" s="2"/>
      <c r="B33" s="3"/>
      <c r="C33" s="3"/>
      <c r="D33" s="3"/>
      <c r="E33" s="2"/>
    </row>
    <row r="34" spans="1:6" ht="14.55" customHeight="1">
      <c r="A34" s="2"/>
      <c r="B34" s="3"/>
      <c r="C34" s="3"/>
      <c r="D34" s="3"/>
      <c r="E34" s="2"/>
    </row>
    <row r="35" spans="1:6" ht="14.55" customHeight="1">
      <c r="A35" s="2"/>
      <c r="B35" s="3"/>
      <c r="C35" s="3"/>
      <c r="D35" s="2"/>
      <c r="E35" s="2"/>
    </row>
    <row r="36" spans="1:6" ht="14.55" customHeight="1">
      <c r="A36" s="2"/>
      <c r="B36" s="2"/>
      <c r="C36" s="2"/>
      <c r="D36" s="2"/>
      <c r="E36" s="2"/>
    </row>
    <row r="37" spans="1:6" ht="14.55" customHeight="1">
      <c r="A37" s="2"/>
      <c r="B37" s="2"/>
      <c r="C37" s="2"/>
      <c r="D37" s="2"/>
      <c r="E37" s="2"/>
    </row>
    <row r="38" spans="1:6" ht="14.55" customHeight="1">
      <c r="A38" s="2"/>
      <c r="B38" s="2"/>
      <c r="C38" s="2"/>
      <c r="D38" s="2"/>
    </row>
    <row r="39" spans="1:6" ht="14.55" customHeight="1">
      <c r="A39" s="23"/>
      <c r="B39" s="24"/>
      <c r="C39" s="24"/>
      <c r="D39" s="2"/>
    </row>
    <row r="40" spans="1:6" ht="14.55" customHeight="1">
      <c r="A40" s="2"/>
      <c r="B40" s="3"/>
      <c r="C40" s="3"/>
      <c r="D40" s="2"/>
    </row>
    <row r="41" spans="1:6" s="20" customFormat="1" ht="14.55" customHeight="1">
      <c r="A41" s="23"/>
      <c r="B41" s="24"/>
      <c r="C41" s="24"/>
      <c r="D41" s="2"/>
      <c r="E41" s="9"/>
      <c r="F41" s="9"/>
    </row>
    <row r="42" spans="1:6" s="20" customFormat="1" ht="14.55" customHeight="1">
      <c r="A42" s="2"/>
      <c r="B42" s="3"/>
      <c r="C42" s="24"/>
      <c r="D42" s="2"/>
      <c r="E42" s="9"/>
      <c r="F42" s="9"/>
    </row>
    <row r="43" spans="1:6" ht="14.55" customHeight="1">
      <c r="A43" s="2"/>
      <c r="B43" s="3"/>
      <c r="C43" s="3"/>
      <c r="D43" s="2"/>
    </row>
    <row r="44" spans="1:6" ht="14.55" customHeight="1">
      <c r="A44" s="23"/>
      <c r="B44" s="24"/>
      <c r="C44" s="24"/>
      <c r="D44" s="2"/>
    </row>
    <row r="45" spans="1:6" ht="14.55" customHeight="1">
      <c r="A45" s="23"/>
      <c r="B45" s="24"/>
      <c r="C45" s="24"/>
      <c r="D45" s="2"/>
    </row>
    <row r="46" spans="1:6" ht="14.55" customHeight="1">
      <c r="A46" s="23"/>
      <c r="B46" s="24"/>
      <c r="C46" s="24"/>
    </row>
    <row r="47" spans="1:6" ht="14.55" customHeight="1">
      <c r="A47" s="23"/>
      <c r="B47" s="23"/>
      <c r="C47" s="23"/>
    </row>
    <row r="48" spans="1:6" ht="14.55" customHeight="1">
      <c r="A48" s="23"/>
      <c r="B48" s="23"/>
      <c r="C48" s="23"/>
    </row>
    <row r="49" spans="1:4" ht="14.55" customHeight="1">
      <c r="A49" s="23"/>
      <c r="B49" s="23"/>
      <c r="C49" s="23"/>
    </row>
    <row r="50" spans="1:4" ht="14.55" customHeight="1">
      <c r="A50" s="2"/>
      <c r="B50" s="2"/>
      <c r="C50" s="2"/>
    </row>
    <row r="51" spans="1:4" ht="14.55" customHeight="1">
      <c r="A51" s="2"/>
      <c r="B51" s="2"/>
      <c r="C51" s="2"/>
    </row>
    <row r="52" spans="1:4" ht="14.55" customHeight="1">
      <c r="A52" s="2"/>
      <c r="B52" s="2"/>
      <c r="C52" s="2"/>
    </row>
    <row r="53" spans="1:4" ht="14.55" customHeight="1">
      <c r="A53" s="2"/>
      <c r="B53" s="2"/>
      <c r="C53" s="2"/>
    </row>
    <row r="54" spans="1:4" ht="14.55" customHeight="1">
      <c r="A54" s="2"/>
      <c r="B54" s="2"/>
      <c r="C54" s="2"/>
    </row>
    <row r="55" spans="1:4" ht="14.55" customHeight="1">
      <c r="A55" s="2"/>
      <c r="B55" s="2"/>
      <c r="C55" s="2"/>
    </row>
    <row r="56" spans="1:4" ht="14.55" customHeight="1">
      <c r="A56" s="2"/>
      <c r="B56" s="2"/>
      <c r="C56" s="2"/>
    </row>
    <row r="57" spans="1:4" ht="14.55" customHeight="1">
      <c r="A57" s="2"/>
      <c r="B57" s="2"/>
      <c r="C57" s="2"/>
      <c r="D57" s="9"/>
    </row>
  </sheetData>
  <mergeCells count="4">
    <mergeCell ref="A12:E12"/>
    <mergeCell ref="A13:E13"/>
    <mergeCell ref="A14:E14"/>
    <mergeCell ref="A15:E15"/>
  </mergeCells>
  <pageMargins left="0.39370078740157483" right="0.39370078740157483" top="1.4285714285714286" bottom="0.74803149606299213" header="0.31496062992125984" footer="0.31496062992125984"/>
  <pageSetup paperSize="9" orientation="landscape" r:id="rId1"/>
  <headerFooter>
    <oddHeader xml:space="preserve">&amp;L&amp;G
&amp;C&amp;10IREC SA CUP 2018
TEAM LAUSANNE
&amp;K04+024Subsystem
Title Table Template&amp;R&amp;K000000Doc-No.: 2018_SE_XX_0001
Issue:                       1  &amp;K04+000  &amp;K000000           
Category:               XXXXX
Date:   &amp;D
Page:              &amp;P of &amp;N
</oddHeader>
    <oddFooter>&amp;L&amp;10&amp;K000000INTERNAL USE ONLY&amp;C&amp;10&amp;K000000© EPFL Rocket Team 2018. This document shall not be used for other purposes than those for which it was established. No unauthorised distribution, dissemination or disclosure.&amp;11
&amp;R&amp;10&amp;K000000UNCLASSIFIED</oddFooter>
  </headerFooter>
  <legacyDrawingHF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H53"/>
  <sheetViews>
    <sheetView showGridLines="0" workbookViewId="0">
      <selection activeCell="E5" sqref="E5"/>
    </sheetView>
  </sheetViews>
  <sheetFormatPr baseColWidth="10" defaultColWidth="11.44140625" defaultRowHeight="14.55" customHeight="1"/>
  <cols>
    <col min="1" max="1" width="12.77734375" style="9" customWidth="1"/>
    <col min="2" max="2" width="43.109375" style="9" bestFit="1" customWidth="1"/>
    <col min="3" max="3" width="6" style="17" bestFit="1" customWidth="1"/>
    <col min="4" max="4" width="11.109375" style="17" bestFit="1" customWidth="1"/>
    <col min="5" max="5" width="18.44140625" style="9" bestFit="1" customWidth="1"/>
    <col min="6" max="6" width="17.44140625" style="9" customWidth="1"/>
    <col min="7" max="7" width="12.44140625" style="9" bestFit="1" customWidth="1"/>
    <col min="8" max="8" width="13.44140625" style="9" bestFit="1" customWidth="1"/>
    <col min="9" max="16384" width="11.44140625" style="9"/>
  </cols>
  <sheetData>
    <row r="1" spans="1:60" ht="14.4">
      <c r="A1" s="11" t="s">
        <v>25</v>
      </c>
      <c r="B1" s="11" t="s">
        <v>19</v>
      </c>
      <c r="C1" s="11"/>
      <c r="D1" s="8"/>
      <c r="E1" s="7"/>
    </row>
    <row r="2" spans="1:60" ht="14.4">
      <c r="A2" s="10" t="s">
        <v>24</v>
      </c>
      <c r="B2" s="10" t="s">
        <v>33</v>
      </c>
      <c r="C2" s="10"/>
      <c r="D2" s="10"/>
      <c r="E2" s="10"/>
    </row>
    <row r="3" spans="1:60" ht="14.4">
      <c r="B3" s="15"/>
      <c r="C3" s="9"/>
    </row>
    <row r="4" spans="1:60" s="17" customFormat="1" ht="28.05" customHeight="1">
      <c r="A4" s="36" t="s">
        <v>6</v>
      </c>
      <c r="B4" s="36" t="s">
        <v>7</v>
      </c>
      <c r="C4" s="36" t="s">
        <v>29</v>
      </c>
      <c r="D4" s="37" t="s">
        <v>43</v>
      </c>
      <c r="E4" s="37" t="s">
        <v>30</v>
      </c>
      <c r="F4" s="38" t="s">
        <v>44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</row>
    <row r="5" spans="1:60" ht="13.05" customHeight="1">
      <c r="A5" s="34">
        <v>17100</v>
      </c>
      <c r="B5" s="35" t="s">
        <v>22</v>
      </c>
      <c r="C5" s="34">
        <v>1</v>
      </c>
      <c r="D5" s="35">
        <v>3995</v>
      </c>
      <c r="E5" s="34">
        <v>1</v>
      </c>
      <c r="F5" s="47">
        <f>PLopt1[[#This Row],['#]]*PLopt1[[#This Row],[Mass
'[g']]]*(1+PLopt1[[#This Row],[Contingency
'[%']]]/100)</f>
        <v>4034.95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</row>
    <row r="6" spans="1:60" ht="13.05" customHeight="1">
      <c r="A6" s="34">
        <v>17200</v>
      </c>
      <c r="B6" s="35" t="s">
        <v>49</v>
      </c>
      <c r="C6" s="34">
        <v>1</v>
      </c>
      <c r="D6" s="35">
        <v>67.8</v>
      </c>
      <c r="E6" s="34">
        <v>1</v>
      </c>
      <c r="F6" s="47">
        <f>PLopt1[[#This Row],['#]]*PLopt1[[#This Row],[Mass
'[g']]]*(1+PLopt1[[#This Row],[Contingency
'[%']]]/100)</f>
        <v>68.477999999999994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</row>
    <row r="7" spans="1:60" ht="13.05" customHeight="1">
      <c r="A7" s="40" t="s">
        <v>15</v>
      </c>
      <c r="B7" s="41"/>
      <c r="C7" s="41"/>
      <c r="D7" s="41"/>
      <c r="E7" s="41"/>
      <c r="F7" s="41">
        <f>SUBTOTAL(109,PLopt1[Mass w. contingency
'[g']])</f>
        <v>4103.4279999999999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</row>
    <row r="8" spans="1:60" ht="13.05" customHeight="1">
      <c r="A8" s="62" t="s">
        <v>27</v>
      </c>
      <c r="B8" s="63"/>
      <c r="C8" s="63"/>
      <c r="D8" s="63"/>
      <c r="E8" s="64"/>
      <c r="F8" s="42">
        <v>0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</row>
    <row r="9" spans="1:60" ht="13.05" customHeight="1">
      <c r="A9" s="62" t="s">
        <v>28</v>
      </c>
      <c r="B9" s="63"/>
      <c r="C9" s="63"/>
      <c r="D9" s="63"/>
      <c r="E9" s="64"/>
      <c r="F9" s="42">
        <f>PLopt1[[#Totals],[Mass w. contingency
'[g']]]*(1+F8/100)</f>
        <v>4103.4279999999999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</row>
    <row r="10" spans="1:60" ht="13.05" customHeight="1">
      <c r="A10" s="62" t="s">
        <v>11</v>
      </c>
      <c r="B10" s="63"/>
      <c r="C10" s="63"/>
      <c r="D10" s="63"/>
      <c r="E10" s="64"/>
      <c r="F10" s="42">
        <f>Rocket!E13</f>
        <v>4100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</row>
    <row r="11" spans="1:60" ht="13.05" customHeight="1">
      <c r="A11" s="62" t="s">
        <v>12</v>
      </c>
      <c r="B11" s="63"/>
      <c r="C11" s="63"/>
      <c r="D11" s="63"/>
      <c r="E11" s="64"/>
      <c r="F11" s="42">
        <f>F10-F9</f>
        <v>-3.4279999999998836</v>
      </c>
    </row>
    <row r="12" spans="1:60" ht="14.4">
      <c r="A12" s="2"/>
      <c r="B12" s="5"/>
      <c r="C12" s="4"/>
      <c r="D12" s="3"/>
      <c r="E12" s="2"/>
    </row>
    <row r="13" spans="1:60" ht="14.4">
      <c r="A13" s="2"/>
      <c r="B13" s="5"/>
      <c r="C13" s="4"/>
      <c r="D13" s="21"/>
      <c r="E13" s="2"/>
    </row>
    <row r="14" spans="1:60" ht="14.4">
      <c r="A14" s="2"/>
      <c r="B14" s="4"/>
      <c r="C14" s="4"/>
      <c r="D14" s="21"/>
      <c r="E14" s="2"/>
    </row>
    <row r="15" spans="1:60" ht="14.55" customHeight="1">
      <c r="A15" s="2"/>
      <c r="B15" s="4"/>
      <c r="C15" s="4"/>
      <c r="D15" s="3"/>
      <c r="E15" s="2"/>
    </row>
    <row r="16" spans="1:60" ht="14.55" customHeight="1">
      <c r="A16" s="2"/>
      <c r="B16" s="4"/>
      <c r="C16" s="6"/>
      <c r="D16" s="3"/>
      <c r="E16" s="2"/>
    </row>
    <row r="17" spans="1:6" s="20" customFormat="1" ht="14.55" customHeight="1">
      <c r="A17" s="2"/>
      <c r="B17" s="4"/>
      <c r="C17" s="6"/>
      <c r="D17" s="21"/>
      <c r="E17" s="2"/>
      <c r="F17" s="9"/>
    </row>
    <row r="18" spans="1:6" ht="14.55" customHeight="1">
      <c r="A18" s="2"/>
      <c r="B18" s="1"/>
      <c r="C18" s="1"/>
      <c r="D18" s="3"/>
      <c r="E18" s="2"/>
    </row>
    <row r="19" spans="1:6" ht="14.55" customHeight="1">
      <c r="A19" s="2"/>
      <c r="B19" s="1"/>
      <c r="C19" s="1"/>
      <c r="D19" s="3"/>
      <c r="E19" s="2"/>
    </row>
    <row r="20" spans="1:6" ht="14.55" customHeight="1">
      <c r="A20" s="2"/>
      <c r="B20" s="1"/>
      <c r="C20" s="1"/>
      <c r="D20" s="2"/>
      <c r="E20" s="2"/>
    </row>
    <row r="21" spans="1:6" ht="21.75" customHeight="1">
      <c r="A21" s="2"/>
      <c r="B21" s="1"/>
      <c r="C21" s="22"/>
      <c r="D21" s="3"/>
      <c r="E21" s="2"/>
    </row>
    <row r="22" spans="1:6" ht="14.55" customHeight="1">
      <c r="A22" s="2"/>
      <c r="B22" s="3"/>
      <c r="C22" s="3"/>
      <c r="D22" s="2"/>
      <c r="E22" s="2"/>
    </row>
    <row r="23" spans="1:6" ht="14.4">
      <c r="A23" s="2"/>
      <c r="B23" s="3"/>
      <c r="C23" s="3"/>
      <c r="D23" s="3"/>
      <c r="E23" s="2"/>
    </row>
    <row r="24" spans="1:6" ht="14.55" customHeight="1">
      <c r="A24" s="2"/>
      <c r="B24" s="21"/>
      <c r="C24" s="21"/>
      <c r="D24" s="3"/>
      <c r="E24" s="2"/>
    </row>
    <row r="25" spans="1:6" ht="14.55" customHeight="1">
      <c r="A25" s="2"/>
      <c r="B25" s="21"/>
      <c r="C25" s="21"/>
      <c r="D25" s="21"/>
      <c r="E25" s="2"/>
    </row>
    <row r="26" spans="1:6" ht="14.55" customHeight="1">
      <c r="A26" s="2"/>
      <c r="B26" s="3"/>
      <c r="C26" s="21"/>
      <c r="D26" s="21"/>
      <c r="E26" s="2"/>
      <c r="F26" s="20"/>
    </row>
    <row r="27" spans="1:6" ht="14.55" customHeight="1">
      <c r="A27" s="2"/>
      <c r="B27" s="3"/>
      <c r="C27" s="3"/>
      <c r="D27" s="21"/>
      <c r="E27" s="2"/>
      <c r="F27" s="20"/>
    </row>
    <row r="28" spans="1:6" ht="14.55" customHeight="1">
      <c r="A28" s="2"/>
      <c r="B28" s="3"/>
      <c r="C28" s="3"/>
      <c r="D28" s="3"/>
      <c r="E28" s="2"/>
    </row>
    <row r="29" spans="1:6" ht="14.55" customHeight="1">
      <c r="A29" s="2"/>
      <c r="B29" s="3"/>
      <c r="C29" s="3"/>
      <c r="D29" s="3"/>
      <c r="E29" s="2"/>
    </row>
    <row r="30" spans="1:6" ht="14.55" customHeight="1">
      <c r="A30" s="2"/>
      <c r="B30" s="3"/>
      <c r="C30" s="3"/>
      <c r="D30" s="3"/>
      <c r="E30" s="2"/>
    </row>
    <row r="31" spans="1:6" ht="14.55" customHeight="1">
      <c r="A31" s="2"/>
      <c r="B31" s="3"/>
      <c r="C31" s="3"/>
      <c r="D31" s="2"/>
      <c r="E31" s="2"/>
    </row>
    <row r="32" spans="1:6" ht="14.55" customHeight="1">
      <c r="A32" s="2"/>
      <c r="B32" s="2"/>
      <c r="C32" s="2"/>
      <c r="D32" s="2"/>
      <c r="E32" s="2"/>
    </row>
    <row r="33" spans="1:6" ht="14.55" customHeight="1">
      <c r="A33" s="2"/>
      <c r="B33" s="2"/>
      <c r="C33" s="2"/>
      <c r="D33" s="2"/>
      <c r="E33" s="2"/>
    </row>
    <row r="34" spans="1:6" ht="14.55" customHeight="1">
      <c r="A34" s="2"/>
      <c r="B34" s="2"/>
      <c r="C34" s="2"/>
      <c r="D34" s="2"/>
    </row>
    <row r="35" spans="1:6" s="20" customFormat="1" ht="14.55" customHeight="1">
      <c r="A35" s="23"/>
      <c r="B35" s="24"/>
      <c r="C35" s="24"/>
      <c r="D35" s="2"/>
      <c r="E35" s="9"/>
      <c r="F35" s="9"/>
    </row>
    <row r="36" spans="1:6" s="20" customFormat="1" ht="14.55" customHeight="1">
      <c r="A36" s="2"/>
      <c r="B36" s="3"/>
      <c r="C36" s="3"/>
      <c r="D36" s="2"/>
      <c r="E36" s="9"/>
      <c r="F36" s="9"/>
    </row>
    <row r="37" spans="1:6" ht="14.55" customHeight="1">
      <c r="A37" s="23"/>
      <c r="B37" s="24"/>
      <c r="C37" s="24"/>
      <c r="D37" s="2"/>
    </row>
    <row r="38" spans="1:6" ht="14.55" customHeight="1">
      <c r="A38" s="2"/>
      <c r="B38" s="3"/>
      <c r="C38" s="24"/>
      <c r="D38" s="2"/>
    </row>
    <row r="39" spans="1:6" ht="14.55" customHeight="1">
      <c r="A39" s="2"/>
      <c r="B39" s="3"/>
      <c r="C39" s="3"/>
      <c r="D39" s="2"/>
    </row>
    <row r="40" spans="1:6" ht="14.55" customHeight="1">
      <c r="A40" s="23"/>
      <c r="B40" s="24"/>
      <c r="C40" s="24"/>
      <c r="D40" s="2"/>
    </row>
    <row r="41" spans="1:6" ht="14.55" customHeight="1">
      <c r="A41" s="23"/>
      <c r="B41" s="24"/>
      <c r="C41" s="24"/>
      <c r="D41" s="2"/>
    </row>
    <row r="42" spans="1:6" ht="14.55" customHeight="1">
      <c r="A42" s="23"/>
      <c r="B42" s="24"/>
      <c r="C42" s="24"/>
    </row>
    <row r="43" spans="1:6" ht="14.55" customHeight="1">
      <c r="A43" s="23"/>
      <c r="B43" s="23"/>
      <c r="C43" s="23"/>
    </row>
    <row r="44" spans="1:6" ht="14.55" customHeight="1">
      <c r="A44" s="23"/>
      <c r="B44" s="23"/>
      <c r="C44" s="23"/>
      <c r="D44" s="9"/>
    </row>
    <row r="45" spans="1:6" ht="14.55" customHeight="1">
      <c r="A45" s="23"/>
      <c r="B45" s="23"/>
      <c r="C45" s="23"/>
      <c r="D45" s="9"/>
    </row>
    <row r="46" spans="1:6" ht="14.55" customHeight="1">
      <c r="A46" s="2"/>
      <c r="B46" s="2"/>
      <c r="C46" s="2"/>
      <c r="D46" s="9"/>
    </row>
    <row r="47" spans="1:6" ht="14.55" customHeight="1">
      <c r="A47" s="2"/>
      <c r="B47" s="2"/>
      <c r="C47" s="2"/>
      <c r="D47" s="9"/>
    </row>
    <row r="48" spans="1:6" ht="14.55" customHeight="1">
      <c r="A48" s="2"/>
      <c r="B48" s="2"/>
      <c r="C48" s="2"/>
      <c r="D48" s="9"/>
    </row>
    <row r="49" spans="1:4" ht="14.55" customHeight="1">
      <c r="A49" s="2"/>
      <c r="B49" s="2"/>
      <c r="C49" s="2"/>
      <c r="D49" s="9"/>
    </row>
    <row r="50" spans="1:4" ht="14.55" customHeight="1">
      <c r="A50" s="2"/>
      <c r="B50" s="2"/>
      <c r="C50" s="2"/>
      <c r="D50" s="9"/>
    </row>
    <row r="51" spans="1:4" ht="14.55" customHeight="1">
      <c r="A51" s="2"/>
      <c r="B51" s="2"/>
      <c r="C51" s="2"/>
      <c r="D51" s="9"/>
    </row>
    <row r="52" spans="1:4" ht="14.55" customHeight="1">
      <c r="A52" s="2"/>
      <c r="B52" s="2"/>
      <c r="C52" s="2"/>
      <c r="D52" s="9"/>
    </row>
    <row r="53" spans="1:4" ht="14.55" customHeight="1">
      <c r="A53" s="2"/>
      <c r="B53" s="2"/>
      <c r="C53" s="2"/>
      <c r="D53" s="9"/>
    </row>
  </sheetData>
  <mergeCells count="4">
    <mergeCell ref="A8:E8"/>
    <mergeCell ref="A9:E9"/>
    <mergeCell ref="A10:E10"/>
    <mergeCell ref="A11:E11"/>
  </mergeCells>
  <phoneticPr fontId="13" type="noConversion"/>
  <pageMargins left="0.39370078740157483" right="0.39370078740157483" top="1.4285714285714286" bottom="0.74803149606299213" header="0.31496062992125984" footer="0.31496062992125984"/>
  <pageSetup paperSize="9" orientation="landscape" r:id="rId1"/>
  <headerFooter>
    <oddHeader xml:space="preserve">&amp;L&amp;G
&amp;C&amp;10IREC SA CUP 2018
TEAM LAUSANNE
&amp;K04+024Subsystem
Title Table Template&amp;R&amp;K000000Doc-No.: 2018_SE_XX_0001
Issue:                       1  &amp;K04+000  &amp;K000000           
Category:               XXXXX
Date:   &amp;D
Page:              &amp;P of &amp;N
</oddHeader>
    <oddFooter>&amp;L&amp;10&amp;K000000INTERNAL USE ONLY&amp;C&amp;10&amp;K000000© EPFL Rocket Team 2018. This document shall not be used for other purposes than those for which it was established. No unauthorised distribution, dissemination or disclosure.&amp;11
&amp;R&amp;10&amp;K000000UNCLASSIFIED</oddFooter>
  </headerFooter>
  <legacyDrawingHF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H54"/>
  <sheetViews>
    <sheetView showGridLines="0" topLeftCell="A2" workbookViewId="0">
      <selection activeCell="B24" sqref="B24"/>
    </sheetView>
  </sheetViews>
  <sheetFormatPr baseColWidth="10" defaultColWidth="11.44140625" defaultRowHeight="14.55" customHeight="1"/>
  <cols>
    <col min="1" max="1" width="12.77734375" style="9" customWidth="1"/>
    <col min="2" max="2" width="43.109375" style="9" bestFit="1" customWidth="1"/>
    <col min="3" max="3" width="6" style="17" bestFit="1" customWidth="1"/>
    <col min="4" max="4" width="11.109375" style="17" bestFit="1" customWidth="1"/>
    <col min="5" max="5" width="18.44140625" style="9" bestFit="1" customWidth="1"/>
    <col min="6" max="6" width="17.44140625" style="9" customWidth="1"/>
    <col min="7" max="7" width="12.44140625" style="9" bestFit="1" customWidth="1"/>
    <col min="8" max="8" width="13.44140625" style="9" bestFit="1" customWidth="1"/>
    <col min="9" max="16384" width="11.44140625" style="9"/>
  </cols>
  <sheetData>
    <row r="1" spans="1:60" ht="14.4">
      <c r="A1" s="11" t="s">
        <v>25</v>
      </c>
      <c r="B1" s="11" t="s">
        <v>20</v>
      </c>
      <c r="C1" s="11"/>
      <c r="D1" s="8"/>
      <c r="E1" s="7"/>
    </row>
    <row r="2" spans="1:60" ht="14.4">
      <c r="A2" s="10" t="s">
        <v>24</v>
      </c>
      <c r="B2" s="10" t="s">
        <v>37</v>
      </c>
      <c r="C2" s="10"/>
      <c r="D2" s="10"/>
      <c r="E2" s="10"/>
    </row>
    <row r="4" spans="1:60" ht="13.05" customHeight="1">
      <c r="A4" s="67" t="s">
        <v>38</v>
      </c>
      <c r="B4" s="68"/>
      <c r="C4" s="68"/>
      <c r="D4" s="68"/>
      <c r="E4" s="68"/>
      <c r="F4" s="69"/>
    </row>
    <row r="5" spans="1:60" s="17" customFormat="1" ht="28.05" customHeight="1">
      <c r="A5" s="36" t="s">
        <v>6</v>
      </c>
      <c r="B5" s="36" t="s">
        <v>7</v>
      </c>
      <c r="C5" s="36" t="s">
        <v>29</v>
      </c>
      <c r="D5" s="37" t="s">
        <v>43</v>
      </c>
      <c r="E5" s="37" t="s">
        <v>30</v>
      </c>
      <c r="F5" s="38" t="s">
        <v>44</v>
      </c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</row>
    <row r="6" spans="1:60" ht="13.05" customHeight="1">
      <c r="A6" s="34">
        <v>13100</v>
      </c>
      <c r="B6" s="35" t="s">
        <v>32</v>
      </c>
      <c r="C6" s="34">
        <v>1</v>
      </c>
      <c r="D6" s="35">
        <v>3962</v>
      </c>
      <c r="E6" s="34">
        <v>1</v>
      </c>
      <c r="F6" s="47">
        <f>PPopt1[[#This Row],['#]]*PPopt1[[#This Row],[Mass
'[g']]]*(1+PPopt1[[#This Row],[Contingency
'[%']]]/100)</f>
        <v>4001.62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</row>
    <row r="7" spans="1:60" ht="13.05" customHeight="1">
      <c r="A7" s="34">
        <v>13200</v>
      </c>
      <c r="B7" s="35" t="s">
        <v>57</v>
      </c>
      <c r="C7" s="34">
        <v>1</v>
      </c>
      <c r="D7" s="35">
        <v>2757</v>
      </c>
      <c r="E7" s="34">
        <v>1</v>
      </c>
      <c r="F7" s="47">
        <f>PPopt1[[#This Row],['#]]*PPopt1[[#This Row],[Mass
'[g']]]*(1+PPopt1[[#This Row],[Contingency
'[%']]]/100)</f>
        <v>2784.57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</row>
    <row r="8" spans="1:60" ht="13.05" customHeight="1">
      <c r="A8" s="40" t="s">
        <v>15</v>
      </c>
      <c r="B8" s="41"/>
      <c r="C8" s="41"/>
      <c r="D8" s="41"/>
      <c r="E8" s="41"/>
      <c r="F8" s="41">
        <f>SUBTOTAL(109,PPopt1[Mass w. contingency
'[g']])</f>
        <v>6786.1900000000005</v>
      </c>
    </row>
    <row r="9" spans="1:60" ht="13.05" customHeight="1">
      <c r="A9" s="62" t="s">
        <v>27</v>
      </c>
      <c r="B9" s="63"/>
      <c r="C9" s="63"/>
      <c r="D9" s="63"/>
      <c r="E9" s="64"/>
      <c r="F9" s="42">
        <v>0</v>
      </c>
    </row>
    <row r="10" spans="1:60" ht="13.05" customHeight="1">
      <c r="A10" s="62" t="s">
        <v>28</v>
      </c>
      <c r="B10" s="63"/>
      <c r="C10" s="63"/>
      <c r="D10" s="63"/>
      <c r="E10" s="64"/>
      <c r="F10" s="42">
        <f>PPopt1[[#Totals],[Mass w. contingency
'[g']]]*(1+F9/100)</f>
        <v>6786.1900000000005</v>
      </c>
    </row>
    <row r="11" spans="1:60" ht="13.05" customHeight="1">
      <c r="A11" s="62" t="s">
        <v>11</v>
      </c>
      <c r="B11" s="63"/>
      <c r="C11" s="63"/>
      <c r="D11" s="63"/>
      <c r="E11" s="64"/>
      <c r="F11" s="42">
        <f>Rocket!E14</f>
        <v>6100</v>
      </c>
    </row>
    <row r="12" spans="1:60" ht="13.05" customHeight="1">
      <c r="A12" s="62" t="s">
        <v>12</v>
      </c>
      <c r="B12" s="63"/>
      <c r="C12" s="63"/>
      <c r="D12" s="63"/>
      <c r="E12" s="64"/>
      <c r="F12" s="42">
        <f>F11-F10</f>
        <v>-686.19000000000051</v>
      </c>
    </row>
    <row r="13" spans="1:60" ht="13.05" customHeight="1">
      <c r="A13" s="48"/>
      <c r="B13" s="48"/>
      <c r="C13" s="35"/>
      <c r="D13" s="48"/>
      <c r="E13" s="48"/>
      <c r="F13" s="49"/>
    </row>
    <row r="14" spans="1:60" ht="13.05" customHeight="1">
      <c r="A14" s="67" t="s">
        <v>39</v>
      </c>
      <c r="B14" s="68"/>
      <c r="C14" s="68"/>
      <c r="D14" s="68"/>
      <c r="E14" s="68"/>
      <c r="F14" s="69"/>
    </row>
    <row r="15" spans="1:60" ht="28.05" customHeight="1">
      <c r="A15" s="36" t="s">
        <v>6</v>
      </c>
      <c r="B15" s="36" t="s">
        <v>7</v>
      </c>
      <c r="C15" s="36" t="s">
        <v>29</v>
      </c>
      <c r="D15" s="37" t="s">
        <v>43</v>
      </c>
      <c r="E15" s="37" t="s">
        <v>30</v>
      </c>
      <c r="F15" s="38" t="s">
        <v>44</v>
      </c>
    </row>
    <row r="16" spans="1:60" ht="13.05" customHeight="1">
      <c r="A16" s="34">
        <v>13100</v>
      </c>
      <c r="B16" s="35" t="s">
        <v>32</v>
      </c>
      <c r="C16" s="34">
        <v>1</v>
      </c>
      <c r="D16" s="35">
        <v>0</v>
      </c>
      <c r="E16" s="34">
        <v>1</v>
      </c>
      <c r="F16" s="47">
        <f>PPopt1_bo[[#This Row],['#]]*PPopt1_bo[[#This Row],[Mass
'[g']]]*(1+PPopt1_bo[[#This Row],[Contingency
'[%']]]/100)</f>
        <v>0</v>
      </c>
    </row>
    <row r="17" spans="1:6" ht="13.05" customHeight="1">
      <c r="A17" s="34">
        <v>13200</v>
      </c>
      <c r="B17" s="35" t="s">
        <v>57</v>
      </c>
      <c r="C17" s="34">
        <v>1</v>
      </c>
      <c r="D17" s="35">
        <v>2757</v>
      </c>
      <c r="E17" s="34">
        <v>1</v>
      </c>
      <c r="F17" s="47">
        <f>PPopt1_bo[[#This Row],['#]]*PPopt1_bo[[#This Row],[Mass
'[g']]]*(1+PPopt1_bo[[#This Row],[Contingency
'[%']]]/100)</f>
        <v>2784.57</v>
      </c>
    </row>
    <row r="18" spans="1:6" ht="13.05" customHeight="1">
      <c r="A18" s="40" t="s">
        <v>15</v>
      </c>
      <c r="B18" s="41"/>
      <c r="C18" s="41"/>
      <c r="D18" s="41"/>
      <c r="E18" s="41"/>
      <c r="F18" s="41">
        <f>SUBTOTAL(109,PPopt1_bo[Mass w. contingency
'[g']])</f>
        <v>2784.57</v>
      </c>
    </row>
    <row r="19" spans="1:6" ht="13.05" customHeight="1">
      <c r="A19" s="62" t="s">
        <v>27</v>
      </c>
      <c r="B19" s="63"/>
      <c r="C19" s="63"/>
      <c r="D19" s="63"/>
      <c r="E19" s="64"/>
      <c r="F19" s="42">
        <v>1</v>
      </c>
    </row>
    <row r="20" spans="1:6" ht="13.05" customHeight="1">
      <c r="A20" s="62" t="s">
        <v>28</v>
      </c>
      <c r="B20" s="63"/>
      <c r="C20" s="63"/>
      <c r="D20" s="63"/>
      <c r="E20" s="64"/>
      <c r="F20" s="42">
        <f>PPopt1_bo[[#Totals],[Mass w. contingency
'[g']]]*(1+F19/100)</f>
        <v>2812.4157</v>
      </c>
    </row>
    <row r="21" spans="1:6" ht="13.05" customHeight="1">
      <c r="A21" s="62" t="s">
        <v>11</v>
      </c>
      <c r="B21" s="63"/>
      <c r="C21" s="63"/>
      <c r="D21" s="63"/>
      <c r="E21" s="64"/>
      <c r="F21" s="42">
        <f>Rocket!E14</f>
        <v>6100</v>
      </c>
    </row>
    <row r="22" spans="1:6" ht="13.05" customHeight="1">
      <c r="A22" s="62" t="s">
        <v>12</v>
      </c>
      <c r="B22" s="63"/>
      <c r="C22" s="63"/>
      <c r="D22" s="63"/>
      <c r="E22" s="64"/>
      <c r="F22" s="42">
        <f>F21-F20</f>
        <v>3287.5843</v>
      </c>
    </row>
    <row r="23" spans="1:6" ht="14.55" customHeight="1">
      <c r="A23" s="2"/>
      <c r="B23" s="3"/>
      <c r="C23" s="3"/>
      <c r="D23" s="2"/>
      <c r="E23" s="2"/>
    </row>
    <row r="24" spans="1:6" s="20" customFormat="1" ht="14.55" customHeight="1">
      <c r="A24" s="2"/>
      <c r="B24" s="3"/>
      <c r="C24" s="3"/>
      <c r="D24" s="3"/>
      <c r="E24" s="2"/>
      <c r="F24" s="9"/>
    </row>
    <row r="25" spans="1:6" s="20" customFormat="1" ht="14.55" customHeight="1">
      <c r="A25" s="2"/>
      <c r="B25" s="21"/>
      <c r="C25" s="21"/>
      <c r="D25" s="3"/>
      <c r="E25" s="2"/>
      <c r="F25" s="9"/>
    </row>
    <row r="26" spans="1:6" ht="14.55" customHeight="1">
      <c r="A26" s="2"/>
      <c r="B26" s="21"/>
      <c r="C26" s="21"/>
      <c r="D26" s="21"/>
      <c r="E26" s="2"/>
    </row>
    <row r="27" spans="1:6" ht="14.55" customHeight="1">
      <c r="A27" s="2"/>
      <c r="B27" s="3"/>
      <c r="C27" s="21"/>
      <c r="D27" s="21"/>
      <c r="E27" s="2"/>
      <c r="F27" s="20"/>
    </row>
    <row r="28" spans="1:6" ht="14.55" customHeight="1">
      <c r="A28" s="2"/>
      <c r="B28" s="3"/>
      <c r="C28" s="3"/>
      <c r="D28" s="21"/>
      <c r="E28" s="2"/>
      <c r="F28" s="20"/>
    </row>
    <row r="29" spans="1:6" ht="14.55" customHeight="1">
      <c r="A29" s="2"/>
      <c r="B29" s="3"/>
      <c r="C29" s="3"/>
      <c r="D29" s="3"/>
      <c r="E29" s="2"/>
    </row>
    <row r="30" spans="1:6" ht="14.55" customHeight="1">
      <c r="A30" s="2"/>
      <c r="B30" s="3"/>
      <c r="C30" s="3"/>
      <c r="D30" s="3"/>
      <c r="E30" s="2"/>
    </row>
    <row r="31" spans="1:6" ht="14.55" customHeight="1">
      <c r="A31" s="2"/>
      <c r="B31" s="3"/>
      <c r="C31" s="3"/>
      <c r="D31" s="3"/>
      <c r="E31" s="2"/>
    </row>
    <row r="32" spans="1:6" ht="14.55" customHeight="1">
      <c r="A32" s="2"/>
      <c r="B32" s="3"/>
      <c r="C32" s="3"/>
      <c r="D32" s="2"/>
      <c r="E32" s="2"/>
    </row>
    <row r="33" spans="1:5" ht="14.55" customHeight="1">
      <c r="A33" s="2"/>
      <c r="B33" s="2"/>
      <c r="C33" s="2"/>
      <c r="D33" s="2"/>
      <c r="E33" s="2"/>
    </row>
    <row r="34" spans="1:5" ht="14.55" customHeight="1">
      <c r="A34" s="2"/>
      <c r="B34" s="2"/>
      <c r="C34" s="2"/>
      <c r="D34" s="2"/>
      <c r="E34" s="2"/>
    </row>
    <row r="35" spans="1:5" ht="14.55" customHeight="1">
      <c r="A35" s="2"/>
      <c r="B35" s="2"/>
      <c r="C35" s="2"/>
      <c r="D35" s="2"/>
    </row>
    <row r="36" spans="1:5" ht="14.55" customHeight="1">
      <c r="A36" s="23"/>
      <c r="B36" s="24"/>
      <c r="C36" s="24"/>
      <c r="D36" s="2"/>
    </row>
    <row r="37" spans="1:5" ht="14.55" customHeight="1">
      <c r="A37" s="2"/>
      <c r="B37" s="3"/>
      <c r="C37" s="3"/>
      <c r="D37" s="2"/>
    </row>
    <row r="38" spans="1:5" ht="14.55" customHeight="1">
      <c r="A38" s="23"/>
      <c r="B38" s="24"/>
      <c r="C38" s="24"/>
      <c r="D38" s="2"/>
    </row>
    <row r="39" spans="1:5" ht="14.55" customHeight="1">
      <c r="A39" s="2"/>
      <c r="B39" s="3"/>
      <c r="C39" s="24"/>
      <c r="D39" s="2"/>
    </row>
    <row r="40" spans="1:5" ht="14.55" customHeight="1">
      <c r="A40" s="2"/>
      <c r="B40" s="3"/>
      <c r="C40" s="3"/>
      <c r="D40" s="2"/>
    </row>
    <row r="41" spans="1:5" ht="14.55" customHeight="1">
      <c r="A41" s="23"/>
      <c r="B41" s="24"/>
      <c r="C41" s="24"/>
      <c r="D41" s="2"/>
    </row>
    <row r="42" spans="1:5" ht="14.55" customHeight="1">
      <c r="A42" s="23"/>
      <c r="B42" s="24"/>
      <c r="C42" s="24"/>
      <c r="D42" s="2"/>
    </row>
    <row r="43" spans="1:5" ht="14.55" customHeight="1">
      <c r="A43" s="23"/>
      <c r="B43" s="24"/>
      <c r="C43" s="24"/>
    </row>
    <row r="44" spans="1:5" ht="14.55" customHeight="1">
      <c r="A44" s="23"/>
      <c r="B44" s="23"/>
      <c r="C44" s="23"/>
    </row>
    <row r="45" spans="1:5" ht="14.55" customHeight="1">
      <c r="A45" s="23"/>
      <c r="B45" s="23"/>
      <c r="C45" s="23"/>
    </row>
    <row r="46" spans="1:5" ht="14.55" customHeight="1">
      <c r="A46" s="23"/>
      <c r="B46" s="23"/>
      <c r="C46" s="23"/>
    </row>
    <row r="47" spans="1:5" ht="14.55" customHeight="1">
      <c r="A47" s="2"/>
      <c r="B47" s="2"/>
      <c r="C47" s="2"/>
    </row>
    <row r="48" spans="1:5" ht="14.55" customHeight="1">
      <c r="A48" s="2"/>
      <c r="B48" s="2"/>
      <c r="C48" s="2"/>
    </row>
    <row r="49" spans="1:4" ht="14.55" customHeight="1">
      <c r="A49" s="2"/>
      <c r="B49" s="2"/>
      <c r="C49" s="2"/>
    </row>
    <row r="50" spans="1:4" ht="14.55" customHeight="1">
      <c r="A50" s="2"/>
      <c r="B50" s="2"/>
      <c r="C50" s="2"/>
    </row>
    <row r="51" spans="1:4" ht="14.55" customHeight="1">
      <c r="A51" s="2"/>
      <c r="B51" s="2"/>
      <c r="C51" s="2"/>
    </row>
    <row r="52" spans="1:4" ht="14.55" customHeight="1">
      <c r="A52" s="2"/>
      <c r="B52" s="2"/>
      <c r="C52" s="2"/>
    </row>
    <row r="53" spans="1:4" ht="14.55" customHeight="1">
      <c r="A53" s="2"/>
      <c r="B53" s="2"/>
      <c r="C53" s="2"/>
    </row>
    <row r="54" spans="1:4" ht="14.55" customHeight="1">
      <c r="A54" s="2"/>
      <c r="B54" s="2"/>
      <c r="C54" s="2"/>
      <c r="D54" s="9"/>
    </row>
  </sheetData>
  <mergeCells count="10">
    <mergeCell ref="A19:E19"/>
    <mergeCell ref="A20:E20"/>
    <mergeCell ref="A21:E21"/>
    <mergeCell ref="A22:E22"/>
    <mergeCell ref="A4:F4"/>
    <mergeCell ref="A14:F14"/>
    <mergeCell ref="A9:E9"/>
    <mergeCell ref="A10:E10"/>
    <mergeCell ref="A11:E11"/>
    <mergeCell ref="A12:E12"/>
  </mergeCells>
  <phoneticPr fontId="13" type="noConversion"/>
  <pageMargins left="0.39370078740157483" right="0.39370078740157483" top="1.4285714285714286" bottom="0.74803149606299213" header="0.31496062992125984" footer="0.31496062992125984"/>
  <pageSetup paperSize="9" orientation="landscape" r:id="rId1"/>
  <headerFooter>
    <oddHeader xml:space="preserve">&amp;L&amp;G
&amp;C&amp;10IREC SA CUP 2018
TEAM LAUSANNE
&amp;K04+024Subsystem
Title Table Template&amp;R&amp;K000000Doc-No.: 2018_SE_XX_0001
Issue:                       1  &amp;K04+000  &amp;K000000           
Category:               XXXXX
Date:   &amp;D
Page:              &amp;P of &amp;N
</oddHeader>
    <oddFooter>&amp;L&amp;10&amp;K000000INTERNAL USE ONLY&amp;C&amp;10&amp;K000000© EPFL Rocket Team 2018. This document shall not be used for other purposes than those for which it was established. No unauthorised distribution, dissemination or disclosure.&amp;11
&amp;R&amp;10&amp;K000000UNCLASSIFIED</oddFooter>
  </headerFooter>
  <legacyDrawingHF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H65"/>
  <sheetViews>
    <sheetView showGridLines="0" workbookViewId="0">
      <selection activeCell="G32" sqref="G32"/>
    </sheetView>
  </sheetViews>
  <sheetFormatPr baseColWidth="10" defaultColWidth="11.44140625" defaultRowHeight="14.55" customHeight="1"/>
  <cols>
    <col min="1" max="1" width="12.77734375" style="9" customWidth="1"/>
    <col min="2" max="2" width="43.109375" style="9" bestFit="1" customWidth="1"/>
    <col min="3" max="3" width="6" style="17" bestFit="1" customWidth="1"/>
    <col min="4" max="4" width="11.109375" style="17" bestFit="1" customWidth="1"/>
    <col min="5" max="5" width="18.44140625" style="9" bestFit="1" customWidth="1"/>
    <col min="6" max="6" width="16.6640625" style="9" customWidth="1"/>
    <col min="7" max="7" width="12.44140625" style="9" bestFit="1" customWidth="1"/>
    <col min="8" max="8" width="13.44140625" style="9" bestFit="1" customWidth="1"/>
    <col min="9" max="16384" width="11.44140625" style="9"/>
  </cols>
  <sheetData>
    <row r="1" spans="1:60" ht="14.4">
      <c r="A1" s="11" t="s">
        <v>25</v>
      </c>
      <c r="B1" s="11" t="s">
        <v>21</v>
      </c>
      <c r="C1" s="11"/>
      <c r="D1" s="8"/>
      <c r="E1" s="7"/>
    </row>
    <row r="2" spans="1:60" ht="14.4">
      <c r="A2" s="10" t="s">
        <v>24</v>
      </c>
      <c r="B2" s="10" t="s">
        <v>42</v>
      </c>
      <c r="C2" s="10"/>
      <c r="D2" s="10"/>
      <c r="E2" s="10"/>
    </row>
    <row r="3" spans="1:60" ht="14.4">
      <c r="B3" s="15"/>
      <c r="C3" s="9"/>
    </row>
    <row r="4" spans="1:60" s="17" customFormat="1" ht="28.05" customHeight="1">
      <c r="A4" s="44" t="s">
        <v>6</v>
      </c>
      <c r="B4" s="44" t="s">
        <v>7</v>
      </c>
      <c r="C4" s="44" t="s">
        <v>29</v>
      </c>
      <c r="D4" s="45" t="s">
        <v>43</v>
      </c>
      <c r="E4" s="45" t="s">
        <v>30</v>
      </c>
      <c r="F4" s="46" t="s">
        <v>44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</row>
    <row r="5" spans="1:60" s="17" customFormat="1" ht="13.05" customHeight="1">
      <c r="A5" s="34">
        <v>12101</v>
      </c>
      <c r="B5" s="35" t="s">
        <v>69</v>
      </c>
      <c r="C5" s="34">
        <v>1</v>
      </c>
      <c r="D5" s="35">
        <v>78.599999999999994</v>
      </c>
      <c r="E5" s="34">
        <v>0</v>
      </c>
      <c r="F5" s="47">
        <f>REopt1[[#This Row],['#]]*REopt1[[#This Row],[Mass
'[g']]]*(1+REopt1[[#This Row],[Contingency
'[%']]]/100)</f>
        <v>78.599999999999994</v>
      </c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</row>
    <row r="6" spans="1:60" s="17" customFormat="1" ht="13.05" customHeight="1">
      <c r="A6" s="34">
        <v>12103</v>
      </c>
      <c r="B6" s="35" t="s">
        <v>70</v>
      </c>
      <c r="C6" s="34">
        <v>2</v>
      </c>
      <c r="D6" s="35">
        <v>101.3</v>
      </c>
      <c r="E6" s="34">
        <v>0</v>
      </c>
      <c r="F6" s="47">
        <f>REopt1[[#This Row],['#]]*REopt1[[#This Row],[Mass
'[g']]]*(1+REopt1[[#This Row],[Contingency
'[%']]]/100)</f>
        <v>202.6</v>
      </c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</row>
    <row r="7" spans="1:60" s="17" customFormat="1" ht="13.05" customHeight="1">
      <c r="A7" s="34">
        <v>12104</v>
      </c>
      <c r="B7" s="35" t="s">
        <v>71</v>
      </c>
      <c r="C7" s="34">
        <v>1</v>
      </c>
      <c r="D7" s="35">
        <v>40</v>
      </c>
      <c r="E7" s="34">
        <v>0</v>
      </c>
      <c r="F7" s="47">
        <f>REopt1[[#This Row],['#]]*REopt1[[#This Row],[Mass
'[g']]]*(1+REopt1[[#This Row],[Contingency
'[%']]]/100)</f>
        <v>40</v>
      </c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</row>
    <row r="8" spans="1:60" s="17" customFormat="1" ht="13.05" customHeight="1">
      <c r="A8" s="34">
        <v>12102</v>
      </c>
      <c r="B8" s="35" t="s">
        <v>72</v>
      </c>
      <c r="C8" s="34">
        <v>2</v>
      </c>
      <c r="D8" s="35">
        <v>66.900000000000006</v>
      </c>
      <c r="E8" s="34">
        <v>0</v>
      </c>
      <c r="F8" s="47">
        <f>REopt1[[#This Row],['#]]*REopt1[[#This Row],[Mass
'[g']]]*(1+REopt1[[#This Row],[Contingency
'[%']]]/100)</f>
        <v>133.80000000000001</v>
      </c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</row>
    <row r="9" spans="1:60" s="17" customFormat="1" ht="13.05" customHeight="1">
      <c r="A9" s="34">
        <v>12400</v>
      </c>
      <c r="B9" s="35" t="s">
        <v>73</v>
      </c>
      <c r="C9" s="34">
        <v>2</v>
      </c>
      <c r="D9" s="35">
        <v>213.4</v>
      </c>
      <c r="E9" s="34">
        <v>0</v>
      </c>
      <c r="F9" s="47">
        <f>REopt1[[#This Row],['#]]*REopt1[[#This Row],[Mass
'[g']]]*(1+REopt1[[#This Row],[Contingency
'[%']]]/100)</f>
        <v>426.8</v>
      </c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</row>
    <row r="10" spans="1:60" s="17" customFormat="1" ht="13.05" customHeight="1">
      <c r="A10" s="43" t="s">
        <v>87</v>
      </c>
      <c r="B10" s="35" t="s">
        <v>74</v>
      </c>
      <c r="C10" s="34">
        <v>2</v>
      </c>
      <c r="D10" s="35">
        <v>22.2</v>
      </c>
      <c r="E10" s="34">
        <v>0</v>
      </c>
      <c r="F10" s="47">
        <f>REopt1[[#This Row],['#]]*REopt1[[#This Row],[Mass
'[g']]]*(1+REopt1[[#This Row],[Contingency
'[%']]]/100)</f>
        <v>44.4</v>
      </c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</row>
    <row r="11" spans="1:60" s="17" customFormat="1" ht="13.05" customHeight="1">
      <c r="A11" s="43">
        <v>12203</v>
      </c>
      <c r="B11" s="35" t="s">
        <v>75</v>
      </c>
      <c r="C11" s="34">
        <v>1</v>
      </c>
      <c r="D11" s="35">
        <v>200</v>
      </c>
      <c r="E11" s="34">
        <v>0</v>
      </c>
      <c r="F11" s="47">
        <f>REopt1[[#This Row],['#]]*REopt1[[#This Row],[Mass
'[g']]]*(1+REopt1[[#This Row],[Contingency
'[%']]]/100)</f>
        <v>200</v>
      </c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</row>
    <row r="12" spans="1:60" s="17" customFormat="1" ht="13.05" customHeight="1">
      <c r="A12" s="43">
        <v>12207</v>
      </c>
      <c r="B12" s="35" t="s">
        <v>76</v>
      </c>
      <c r="C12" s="34">
        <v>1</v>
      </c>
      <c r="D12" s="35">
        <v>45.2</v>
      </c>
      <c r="E12" s="34">
        <v>0</v>
      </c>
      <c r="F12" s="47">
        <f>REopt1[[#This Row],['#]]*REopt1[[#This Row],[Mass
'[g']]]*(1+REopt1[[#This Row],[Contingency
'[%']]]/100)</f>
        <v>45.2</v>
      </c>
      <c r="G12" s="19"/>
      <c r="H12" s="33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</row>
    <row r="13" spans="1:60" s="17" customFormat="1" ht="13.05" customHeight="1">
      <c r="A13" s="43">
        <v>12202</v>
      </c>
      <c r="B13" s="35" t="s">
        <v>88</v>
      </c>
      <c r="C13" s="34">
        <v>5</v>
      </c>
      <c r="D13" s="35">
        <v>25</v>
      </c>
      <c r="E13" s="34">
        <v>0</v>
      </c>
      <c r="F13" s="47">
        <f>REopt1[[#This Row],['#]]*REopt1[[#This Row],[Mass
'[g']]]*(1+REopt1[[#This Row],[Contingency
'[%']]]/100)</f>
        <v>125</v>
      </c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</row>
    <row r="14" spans="1:60" s="17" customFormat="1" ht="13.05" customHeight="1">
      <c r="A14" s="43">
        <v>12204</v>
      </c>
      <c r="B14" s="35" t="s">
        <v>77</v>
      </c>
      <c r="C14" s="34">
        <v>1</v>
      </c>
      <c r="D14" s="35">
        <v>14.6</v>
      </c>
      <c r="E14" s="34">
        <v>0</v>
      </c>
      <c r="F14" s="47">
        <f>REopt1[[#This Row],['#]]*REopt1[[#This Row],[Mass
'[g']]]*(1+REopt1[[#This Row],[Contingency
'[%']]]/100)</f>
        <v>14.6</v>
      </c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</row>
    <row r="15" spans="1:60" s="17" customFormat="1" ht="13.05" customHeight="1">
      <c r="A15" s="43">
        <v>12201</v>
      </c>
      <c r="B15" s="35" t="s">
        <v>49</v>
      </c>
      <c r="C15" s="34">
        <v>1</v>
      </c>
      <c r="D15" s="35">
        <v>900</v>
      </c>
      <c r="E15" s="34">
        <v>0</v>
      </c>
      <c r="F15" s="47">
        <f>REopt1[[#This Row],['#]]*REopt1[[#This Row],[Mass
'[g']]]*(1+REopt1[[#This Row],[Contingency
'[%']]]/100)</f>
        <v>900</v>
      </c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</row>
    <row r="16" spans="1:60" s="17" customFormat="1" ht="13.05" customHeight="1">
      <c r="A16" s="43">
        <v>12206</v>
      </c>
      <c r="B16" s="35" t="s">
        <v>78</v>
      </c>
      <c r="C16" s="34">
        <v>1</v>
      </c>
      <c r="D16" s="35">
        <v>74.599999999999994</v>
      </c>
      <c r="E16" s="34">
        <v>0</v>
      </c>
      <c r="F16" s="47">
        <f>REopt1[[#This Row],['#]]*REopt1[[#This Row],[Mass
'[g']]]*(1+REopt1[[#This Row],[Contingency
'[%']]]/100)</f>
        <v>74.599999999999994</v>
      </c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</row>
    <row r="17" spans="1:60" ht="13.05" customHeight="1">
      <c r="A17" s="43" t="s">
        <v>91</v>
      </c>
      <c r="B17" s="35" t="s">
        <v>79</v>
      </c>
      <c r="C17" s="34">
        <v>2</v>
      </c>
      <c r="D17" s="35">
        <v>20.399999999999999</v>
      </c>
      <c r="E17" s="34">
        <v>0</v>
      </c>
      <c r="F17" s="47">
        <f>REopt1[[#This Row],['#]]*REopt1[[#This Row],[Mass
'[g']]]*(1+REopt1[[#This Row],[Contingency
'[%']]]/100)</f>
        <v>40.799999999999997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</row>
    <row r="18" spans="1:60" ht="13.05" customHeight="1">
      <c r="A18" s="43" t="s">
        <v>90</v>
      </c>
      <c r="B18" s="35" t="s">
        <v>89</v>
      </c>
      <c r="C18" s="34">
        <v>1</v>
      </c>
      <c r="D18" s="35">
        <v>71.8</v>
      </c>
      <c r="E18" s="34">
        <v>0</v>
      </c>
      <c r="F18" s="47">
        <f>REopt1[[#This Row],['#]]*REopt1[[#This Row],[Mass
'[g']]]*(1+REopt1[[#This Row],[Contingency
'[%']]]/100)</f>
        <v>71.8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</row>
    <row r="19" spans="1:60" ht="13.05" customHeight="1">
      <c r="A19" s="40" t="s">
        <v>15</v>
      </c>
      <c r="B19" s="41"/>
      <c r="C19" s="41"/>
      <c r="D19" s="41"/>
      <c r="E19" s="41"/>
      <c r="F19" s="41">
        <f>SUBTOTAL(109,REopt1[Mass w. contingency
'[g']])</f>
        <v>2398.2000000000003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</row>
    <row r="20" spans="1:60" ht="13.05" customHeight="1">
      <c r="A20" s="62" t="s">
        <v>27</v>
      </c>
      <c r="B20" s="63"/>
      <c r="C20" s="63"/>
      <c r="D20" s="63"/>
      <c r="E20" s="64"/>
      <c r="F20" s="42">
        <v>0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</row>
    <row r="21" spans="1:60" ht="13.05" customHeight="1">
      <c r="A21" s="62" t="s">
        <v>28</v>
      </c>
      <c r="B21" s="63"/>
      <c r="C21" s="63"/>
      <c r="D21" s="63"/>
      <c r="E21" s="64"/>
      <c r="F21" s="42">
        <f>REopt1[[#Totals],[Mass w. contingency
'[g']]]*(1+F20/100)</f>
        <v>2398.2000000000003</v>
      </c>
    </row>
    <row r="22" spans="1:60" ht="13.05" customHeight="1">
      <c r="A22" s="62" t="s">
        <v>11</v>
      </c>
      <c r="B22" s="63"/>
      <c r="C22" s="63"/>
      <c r="D22" s="63"/>
      <c r="E22" s="64"/>
      <c r="F22" s="42">
        <f>Rocket!E15</f>
        <v>3000</v>
      </c>
    </row>
    <row r="23" spans="1:60" ht="13.05" customHeight="1">
      <c r="A23" s="62" t="s">
        <v>12</v>
      </c>
      <c r="B23" s="63"/>
      <c r="C23" s="63"/>
      <c r="D23" s="63"/>
      <c r="E23" s="64"/>
      <c r="F23" s="42">
        <f>F22-F21</f>
        <v>601.79999999999973</v>
      </c>
    </row>
    <row r="24" spans="1:60" ht="14.55" customHeight="1">
      <c r="A24" s="2"/>
      <c r="B24" s="5"/>
      <c r="C24" s="4"/>
      <c r="D24" s="3"/>
      <c r="E24" s="2"/>
    </row>
    <row r="25" spans="1:60" ht="14.55" customHeight="1">
      <c r="A25" s="2"/>
      <c r="B25" s="5"/>
      <c r="C25" s="4"/>
      <c r="D25" s="21"/>
      <c r="E25" s="2"/>
    </row>
    <row r="26" spans="1:60" ht="14.4">
      <c r="A26" s="2"/>
      <c r="B26" s="4"/>
      <c r="C26" s="4"/>
      <c r="D26" s="21"/>
      <c r="E26" s="2"/>
    </row>
    <row r="27" spans="1:60" ht="14.55" customHeight="1">
      <c r="A27" s="2"/>
      <c r="B27" s="4"/>
      <c r="C27" s="4"/>
      <c r="D27" s="3"/>
      <c r="E27" s="2"/>
    </row>
    <row r="28" spans="1:60" ht="14.4">
      <c r="A28" s="2"/>
      <c r="B28" s="4"/>
      <c r="C28" s="6"/>
      <c r="D28" s="3"/>
      <c r="E28" s="2"/>
    </row>
    <row r="29" spans="1:60" ht="14.55" customHeight="1">
      <c r="A29" s="2"/>
      <c r="B29" s="4"/>
      <c r="C29" s="6"/>
      <c r="D29" s="21"/>
      <c r="E29" s="2"/>
    </row>
    <row r="30" spans="1:60" ht="14.55" customHeight="1">
      <c r="A30" s="2"/>
      <c r="B30" s="1"/>
      <c r="C30" s="1"/>
      <c r="D30" s="3"/>
      <c r="E30" s="2"/>
    </row>
    <row r="31" spans="1:60" ht="14.55" customHeight="1">
      <c r="A31" s="2"/>
      <c r="B31" s="1"/>
      <c r="C31" s="1"/>
      <c r="D31" s="3"/>
      <c r="E31" s="2"/>
    </row>
    <row r="32" spans="1:60" ht="14.55" customHeight="1">
      <c r="A32" s="2"/>
      <c r="B32" s="1"/>
      <c r="C32" s="1"/>
      <c r="D32" s="2"/>
      <c r="E32" s="2"/>
    </row>
    <row r="33" spans="1:6" ht="14.55" customHeight="1">
      <c r="A33" s="2"/>
      <c r="B33" s="1"/>
      <c r="C33" s="22"/>
      <c r="D33" s="3"/>
      <c r="E33" s="2"/>
    </row>
    <row r="34" spans="1:6" ht="14.55" customHeight="1">
      <c r="A34" s="2"/>
      <c r="B34" s="3"/>
      <c r="C34" s="3"/>
      <c r="D34" s="2"/>
      <c r="E34" s="2"/>
    </row>
    <row r="35" spans="1:6" ht="14.55" customHeight="1">
      <c r="A35" s="2"/>
      <c r="B35" s="3"/>
      <c r="C35" s="3"/>
      <c r="D35" s="3"/>
      <c r="E35" s="2"/>
    </row>
    <row r="36" spans="1:6" ht="14.55" customHeight="1">
      <c r="A36" s="2"/>
      <c r="B36" s="21"/>
      <c r="C36" s="21"/>
      <c r="D36" s="3"/>
      <c r="E36" s="2"/>
    </row>
    <row r="37" spans="1:6" ht="14.55" customHeight="1">
      <c r="A37" s="2"/>
      <c r="B37" s="21"/>
      <c r="C37" s="21"/>
      <c r="D37" s="21"/>
      <c r="E37" s="2"/>
    </row>
    <row r="38" spans="1:6" ht="14.55" customHeight="1">
      <c r="A38" s="2"/>
      <c r="B38" s="3"/>
      <c r="C38" s="21"/>
      <c r="D38" s="21"/>
      <c r="E38" s="2"/>
      <c r="F38" s="20"/>
    </row>
    <row r="39" spans="1:6" ht="14.55" customHeight="1">
      <c r="A39" s="2"/>
      <c r="B39" s="3"/>
      <c r="C39" s="3"/>
      <c r="D39" s="21"/>
      <c r="E39" s="2"/>
      <c r="F39" s="20"/>
    </row>
    <row r="40" spans="1:6" s="20" customFormat="1" ht="14.55" customHeight="1">
      <c r="A40" s="2"/>
      <c r="B40" s="3"/>
      <c r="C40" s="3"/>
      <c r="D40" s="3"/>
      <c r="E40" s="2"/>
      <c r="F40" s="9"/>
    </row>
    <row r="41" spans="1:6" s="20" customFormat="1" ht="14.55" customHeight="1">
      <c r="A41" s="2"/>
      <c r="B41" s="3"/>
      <c r="C41" s="3"/>
      <c r="D41" s="3"/>
      <c r="E41" s="2"/>
      <c r="F41" s="9"/>
    </row>
    <row r="42" spans="1:6" ht="14.55" customHeight="1">
      <c r="A42" s="2"/>
      <c r="B42" s="3"/>
      <c r="C42" s="3"/>
      <c r="D42" s="3"/>
      <c r="E42" s="2"/>
    </row>
    <row r="43" spans="1:6" ht="14.55" customHeight="1">
      <c r="A43" s="2"/>
      <c r="B43" s="3"/>
      <c r="C43" s="3"/>
      <c r="D43" s="2"/>
      <c r="E43" s="2"/>
    </row>
    <row r="44" spans="1:6" ht="14.55" customHeight="1">
      <c r="A44" s="2"/>
      <c r="B44" s="2"/>
      <c r="C44" s="2"/>
      <c r="D44" s="2"/>
      <c r="E44" s="2"/>
    </row>
    <row r="45" spans="1:6" ht="14.55" customHeight="1">
      <c r="A45" s="2"/>
      <c r="B45" s="2"/>
      <c r="C45" s="2"/>
      <c r="D45" s="2"/>
      <c r="E45" s="2"/>
    </row>
    <row r="46" spans="1:6" ht="14.55" customHeight="1">
      <c r="A46" s="2"/>
      <c r="B46" s="2"/>
      <c r="C46" s="2"/>
      <c r="D46" s="2"/>
    </row>
    <row r="47" spans="1:6" ht="14.55" customHeight="1">
      <c r="A47" s="23"/>
      <c r="B47" s="24"/>
      <c r="C47" s="24"/>
      <c r="D47" s="2"/>
    </row>
    <row r="48" spans="1:6" ht="14.55" customHeight="1">
      <c r="A48" s="2"/>
      <c r="B48" s="3"/>
      <c r="C48" s="3"/>
      <c r="D48" s="2"/>
    </row>
    <row r="49" spans="1:4" ht="14.55" customHeight="1">
      <c r="A49" s="23"/>
      <c r="B49" s="24"/>
      <c r="C49" s="24"/>
      <c r="D49" s="2"/>
    </row>
    <row r="50" spans="1:4" ht="14.55" customHeight="1">
      <c r="A50" s="2"/>
      <c r="B50" s="3"/>
      <c r="C50" s="24"/>
      <c r="D50" s="2"/>
    </row>
    <row r="51" spans="1:4" ht="14.55" customHeight="1">
      <c r="A51" s="2"/>
      <c r="B51" s="3"/>
      <c r="C51" s="3"/>
      <c r="D51" s="2"/>
    </row>
    <row r="52" spans="1:4" ht="14.55" customHeight="1">
      <c r="A52" s="23"/>
      <c r="B52" s="24"/>
      <c r="C52" s="24"/>
      <c r="D52" s="2"/>
    </row>
    <row r="53" spans="1:4" ht="14.55" customHeight="1">
      <c r="A53" s="23"/>
      <c r="B53" s="24"/>
      <c r="C53" s="24"/>
      <c r="D53" s="2"/>
    </row>
    <row r="54" spans="1:4" ht="14.55" customHeight="1">
      <c r="A54" s="23"/>
      <c r="B54" s="24"/>
      <c r="C54" s="24"/>
    </row>
    <row r="55" spans="1:4" ht="14.55" customHeight="1">
      <c r="A55" s="23"/>
      <c r="B55" s="23"/>
      <c r="C55" s="23"/>
    </row>
    <row r="56" spans="1:4" ht="14.55" customHeight="1">
      <c r="A56" s="23"/>
      <c r="B56" s="23"/>
      <c r="C56" s="23"/>
    </row>
    <row r="57" spans="1:4" ht="14.55" customHeight="1">
      <c r="A57" s="23"/>
      <c r="B57" s="23"/>
      <c r="C57" s="23"/>
    </row>
    <row r="58" spans="1:4" ht="14.55" customHeight="1">
      <c r="A58" s="2"/>
      <c r="B58" s="2"/>
      <c r="C58" s="2"/>
    </row>
    <row r="59" spans="1:4" ht="14.55" customHeight="1">
      <c r="A59" s="2"/>
      <c r="B59" s="2"/>
      <c r="C59" s="2"/>
    </row>
    <row r="60" spans="1:4" ht="14.55" customHeight="1">
      <c r="A60" s="2"/>
      <c r="B60" s="2"/>
      <c r="C60" s="2"/>
    </row>
    <row r="61" spans="1:4" ht="14.55" customHeight="1">
      <c r="A61" s="2"/>
      <c r="B61" s="2"/>
      <c r="C61" s="2"/>
    </row>
    <row r="62" spans="1:4" ht="14.55" customHeight="1">
      <c r="A62" s="2"/>
      <c r="B62" s="2"/>
      <c r="C62" s="2"/>
    </row>
    <row r="63" spans="1:4" ht="14.55" customHeight="1">
      <c r="A63" s="2"/>
      <c r="B63" s="2"/>
      <c r="C63" s="2"/>
    </row>
    <row r="64" spans="1:4" ht="14.55" customHeight="1">
      <c r="A64" s="2"/>
      <c r="B64" s="2"/>
      <c r="C64" s="2"/>
    </row>
    <row r="65" spans="1:4" ht="14.55" customHeight="1">
      <c r="A65" s="2"/>
      <c r="B65" s="2"/>
      <c r="C65" s="2"/>
      <c r="D65" s="9"/>
    </row>
  </sheetData>
  <mergeCells count="4">
    <mergeCell ref="A20:E20"/>
    <mergeCell ref="A21:E21"/>
    <mergeCell ref="A22:E22"/>
    <mergeCell ref="A23:E23"/>
  </mergeCells>
  <phoneticPr fontId="13" type="noConversion"/>
  <pageMargins left="0.39370078740157483" right="0.39370078740157483" top="1.4285714285714286" bottom="0.74803149606299213" header="0.31496062992125984" footer="0.31496062992125984"/>
  <pageSetup paperSize="9" orientation="landscape" r:id="rId1"/>
  <headerFooter>
    <oddHeader xml:space="preserve">&amp;L&amp;G
&amp;C&amp;10IREC SA CUP 2018
TEAM LAUSANNE
&amp;K04+024Subsystem
Title Table Template&amp;R&amp;K000000Doc-No.: 2018_SE_XX_0001
Issue:                       1  &amp;K04+000  &amp;K000000           
Category:               XXXXX
Date:   &amp;D
Page:              &amp;P of &amp;N
</oddHeader>
    <oddFooter>&amp;L&amp;10&amp;K000000INTERNAL USE ONLY&amp;C&amp;10&amp;K000000© EPFL Rocket Team 2018. This document shall not be used for other purposes than those for which it was established. No unauthorised distribution, dissemination or disclosure.&amp;11
&amp;R&amp;10&amp;K000000UNCLASSIFIED</oddFooter>
  </headerFooter>
  <legacyDrawingHF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H57"/>
  <sheetViews>
    <sheetView showGridLines="0" tabSelected="1" workbookViewId="0">
      <selection activeCell="F15" sqref="F15"/>
    </sheetView>
  </sheetViews>
  <sheetFormatPr baseColWidth="10" defaultColWidth="11.44140625" defaultRowHeight="14.55" customHeight="1"/>
  <cols>
    <col min="1" max="1" width="12.77734375" style="9" customWidth="1"/>
    <col min="2" max="2" width="43.109375" style="9" bestFit="1" customWidth="1"/>
    <col min="3" max="3" width="6" style="17" bestFit="1" customWidth="1"/>
    <col min="4" max="4" width="11.109375" style="17" bestFit="1" customWidth="1"/>
    <col min="5" max="5" width="18.44140625" style="9" bestFit="1" customWidth="1"/>
    <col min="6" max="6" width="17.44140625" style="9" customWidth="1"/>
    <col min="7" max="7" width="12.44140625" style="9" bestFit="1" customWidth="1"/>
    <col min="8" max="8" width="13.44140625" style="9" bestFit="1" customWidth="1"/>
    <col min="9" max="16384" width="11.44140625" style="9"/>
  </cols>
  <sheetData>
    <row r="1" spans="1:60" ht="14.4">
      <c r="A1" s="11" t="s">
        <v>25</v>
      </c>
      <c r="B1" s="11" t="s">
        <v>22</v>
      </c>
      <c r="C1" s="11"/>
      <c r="D1" s="8"/>
      <c r="E1" s="7"/>
    </row>
    <row r="2" spans="1:60" ht="14.4">
      <c r="A2" s="10" t="s">
        <v>24</v>
      </c>
      <c r="B2" s="10" t="s">
        <v>33</v>
      </c>
      <c r="C2" s="10"/>
      <c r="D2" s="10"/>
      <c r="E2" s="10"/>
    </row>
    <row r="3" spans="1:60" ht="14.4">
      <c r="B3" s="15"/>
      <c r="C3" s="9"/>
    </row>
    <row r="4" spans="1:60" s="17" customFormat="1" ht="28.05" customHeight="1">
      <c r="A4" s="36" t="s">
        <v>6</v>
      </c>
      <c r="B4" s="36" t="s">
        <v>7</v>
      </c>
      <c r="C4" s="36" t="s">
        <v>29</v>
      </c>
      <c r="D4" s="37" t="s">
        <v>43</v>
      </c>
      <c r="E4" s="37" t="s">
        <v>30</v>
      </c>
      <c r="F4" s="38" t="s">
        <v>44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</row>
    <row r="5" spans="1:60" ht="13.05" customHeight="1">
      <c r="A5" s="34">
        <v>11100</v>
      </c>
      <c r="B5" s="35" t="s">
        <v>58</v>
      </c>
      <c r="C5" s="35">
        <v>1</v>
      </c>
      <c r="D5" s="35">
        <v>775</v>
      </c>
      <c r="E5" s="35">
        <v>0</v>
      </c>
      <c r="F5" s="39">
        <f>STopt1[[#This Row],['#]]*STopt1[[#This Row],[Mass
'[g']]]*(1+STopt1[[#This Row],[Contingency
'[%']]]/100)</f>
        <v>775</v>
      </c>
      <c r="G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</row>
    <row r="6" spans="1:60" ht="13.05" customHeight="1">
      <c r="A6" s="34">
        <v>11300</v>
      </c>
      <c r="B6" s="35" t="s">
        <v>59</v>
      </c>
      <c r="C6" s="35">
        <v>3</v>
      </c>
      <c r="D6" s="35">
        <v>137</v>
      </c>
      <c r="E6" s="35">
        <v>0</v>
      </c>
      <c r="F6" s="39">
        <f>STopt1[[#This Row],['#]]*STopt1[[#This Row],[Mass
'[g']]]*(1+STopt1[[#This Row],[Contingency
'[%']]]/100)</f>
        <v>411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</row>
    <row r="7" spans="1:60" ht="13.05" customHeight="1">
      <c r="A7" s="34">
        <v>11400</v>
      </c>
      <c r="B7" s="35" t="s">
        <v>60</v>
      </c>
      <c r="C7" s="35">
        <v>1</v>
      </c>
      <c r="D7" s="35">
        <v>1200</v>
      </c>
      <c r="E7" s="35">
        <v>0</v>
      </c>
      <c r="F7" s="39">
        <f>STopt1[[#This Row],['#]]*STopt1[[#This Row],[Mass
'[g']]]*(1+STopt1[[#This Row],[Contingency
'[%']]]/100)</f>
        <v>1200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</row>
    <row r="8" spans="1:60" ht="13.05" customHeight="1">
      <c r="A8" s="34">
        <v>11500</v>
      </c>
      <c r="B8" s="35" t="s">
        <v>61</v>
      </c>
      <c r="C8" s="35">
        <v>1</v>
      </c>
      <c r="D8" s="35">
        <v>1910</v>
      </c>
      <c r="E8" s="35">
        <v>0</v>
      </c>
      <c r="F8" s="39">
        <f>STopt1[[#This Row],['#]]*STopt1[[#This Row],[Mass
'[g']]]*(1+STopt1[[#This Row],[Contingency
'[%']]]/100)</f>
        <v>1910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</row>
    <row r="9" spans="1:60" ht="13.05" customHeight="1">
      <c r="A9" s="34">
        <v>11600</v>
      </c>
      <c r="B9" s="35" t="s">
        <v>62</v>
      </c>
      <c r="C9" s="35">
        <v>1</v>
      </c>
      <c r="D9" s="35">
        <v>1484</v>
      </c>
      <c r="E9" s="35">
        <v>0</v>
      </c>
      <c r="F9" s="39">
        <f>STopt1[[#This Row],['#]]*STopt1[[#This Row],[Mass
'[g']]]*(1+STopt1[[#This Row],[Contingency
'[%']]]/100)</f>
        <v>1484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</row>
    <row r="10" spans="1:60" ht="13.05" customHeight="1">
      <c r="A10" s="58" t="s">
        <v>92</v>
      </c>
      <c r="B10" s="35" t="s">
        <v>93</v>
      </c>
      <c r="C10" s="35">
        <v>1</v>
      </c>
      <c r="D10" s="35">
        <v>850</v>
      </c>
      <c r="E10" s="35">
        <v>0</v>
      </c>
      <c r="F10" s="39">
        <f>STopt1[[#This Row],['#]]*STopt1[[#This Row],[Mass
'[g']]]*(1+STopt1[[#This Row],[Contingency
'[%']]]/100)</f>
        <v>850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</row>
    <row r="11" spans="1:60" ht="13.05" customHeight="1">
      <c r="A11" s="40" t="s">
        <v>15</v>
      </c>
      <c r="B11" s="41"/>
      <c r="C11" s="41"/>
      <c r="D11" s="41"/>
      <c r="E11" s="41"/>
      <c r="F11" s="41">
        <f>SUBTOTAL(109,STopt1[Mass w. contingency
'[g']])</f>
        <v>6630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</row>
    <row r="12" spans="1:60" ht="13.05" customHeight="1">
      <c r="A12" s="62" t="s">
        <v>27</v>
      </c>
      <c r="B12" s="63"/>
      <c r="C12" s="63"/>
      <c r="D12" s="63"/>
      <c r="E12" s="64"/>
      <c r="F12" s="42">
        <v>0</v>
      </c>
    </row>
    <row r="13" spans="1:60" ht="13.05" customHeight="1">
      <c r="A13" s="62" t="s">
        <v>28</v>
      </c>
      <c r="B13" s="63"/>
      <c r="C13" s="63"/>
      <c r="D13" s="63"/>
      <c r="E13" s="64"/>
      <c r="F13" s="42">
        <f>STopt1[[#Totals],[Mass w. contingency
'[g']]]*(1+F12/100)</f>
        <v>6630</v>
      </c>
    </row>
    <row r="14" spans="1:60" ht="13.05" customHeight="1">
      <c r="A14" s="62" t="s">
        <v>11</v>
      </c>
      <c r="B14" s="63"/>
      <c r="C14" s="63"/>
      <c r="D14" s="63"/>
      <c r="E14" s="64"/>
      <c r="F14" s="42">
        <f>Rocket!E16</f>
        <v>6000</v>
      </c>
    </row>
    <row r="15" spans="1:60" ht="13.05" customHeight="1">
      <c r="A15" s="62" t="s">
        <v>12</v>
      </c>
      <c r="B15" s="63"/>
      <c r="C15" s="63"/>
      <c r="D15" s="63"/>
      <c r="E15" s="64"/>
      <c r="F15" s="42">
        <f>F14-F13</f>
        <v>-630</v>
      </c>
    </row>
    <row r="16" spans="1:60" ht="14.4">
      <c r="A16" s="2"/>
      <c r="B16" s="5"/>
      <c r="C16" s="4"/>
      <c r="D16" s="3"/>
      <c r="E16" s="2"/>
    </row>
    <row r="17" spans="1:6" ht="14.55" customHeight="1">
      <c r="A17" s="2"/>
      <c r="B17" s="5"/>
      <c r="C17" s="4"/>
      <c r="D17" s="21"/>
      <c r="E17" s="2"/>
    </row>
    <row r="18" spans="1:6" ht="14.55" customHeight="1">
      <c r="A18" s="2"/>
      <c r="B18" s="4"/>
      <c r="C18" s="4"/>
      <c r="D18" s="21"/>
      <c r="E18" s="2"/>
    </row>
    <row r="19" spans="1:6" ht="14.55" customHeight="1">
      <c r="A19" s="2"/>
      <c r="B19" s="4"/>
      <c r="C19" s="4"/>
      <c r="D19" s="3"/>
      <c r="E19" s="2"/>
    </row>
    <row r="20" spans="1:6" ht="14.55" customHeight="1">
      <c r="A20" s="2"/>
      <c r="B20" s="4"/>
      <c r="C20" s="6"/>
      <c r="D20" s="3"/>
      <c r="E20" s="2"/>
    </row>
    <row r="21" spans="1:6" ht="14.55" customHeight="1">
      <c r="A21" s="2"/>
      <c r="B21" s="4"/>
      <c r="C21" s="6"/>
      <c r="D21" s="21"/>
      <c r="E21" s="2"/>
    </row>
    <row r="22" spans="1:6" ht="14.55" customHeight="1">
      <c r="A22" s="2"/>
      <c r="B22" s="1"/>
      <c r="C22" s="1"/>
      <c r="D22" s="3"/>
      <c r="E22" s="2"/>
    </row>
    <row r="23" spans="1:6" ht="14.55" customHeight="1">
      <c r="A23" s="2"/>
      <c r="B23" s="1"/>
      <c r="C23" s="1"/>
      <c r="D23" s="3"/>
      <c r="E23" s="2"/>
    </row>
    <row r="24" spans="1:6" ht="14.55" customHeight="1">
      <c r="A24" s="2"/>
      <c r="B24" s="1"/>
      <c r="C24" s="1"/>
      <c r="D24" s="2"/>
      <c r="E24" s="2"/>
    </row>
    <row r="25" spans="1:6" ht="14.55" customHeight="1">
      <c r="A25" s="2"/>
      <c r="B25" s="1"/>
      <c r="C25" s="22"/>
      <c r="D25" s="3"/>
      <c r="E25" s="2"/>
    </row>
    <row r="26" spans="1:6" ht="14.55" customHeight="1">
      <c r="A26" s="2"/>
      <c r="B26" s="3"/>
      <c r="C26" s="3"/>
      <c r="D26" s="2"/>
      <c r="E26" s="2"/>
    </row>
    <row r="27" spans="1:6" ht="14.55" customHeight="1">
      <c r="A27" s="2"/>
      <c r="B27" s="3"/>
      <c r="C27" s="3"/>
      <c r="D27" s="3"/>
      <c r="E27" s="2"/>
    </row>
    <row r="28" spans="1:6" s="20" customFormat="1" ht="14.55" customHeight="1">
      <c r="A28" s="2"/>
      <c r="B28" s="21"/>
      <c r="C28" s="21"/>
      <c r="D28" s="3"/>
      <c r="E28" s="2"/>
      <c r="F28" s="9"/>
    </row>
    <row r="29" spans="1:6" ht="14.55" customHeight="1">
      <c r="A29" s="2"/>
      <c r="B29" s="21"/>
      <c r="C29" s="21"/>
      <c r="D29" s="21"/>
      <c r="E29" s="2"/>
    </row>
    <row r="30" spans="1:6" ht="14.55" customHeight="1">
      <c r="A30" s="2"/>
      <c r="B30" s="3"/>
      <c r="C30" s="21"/>
      <c r="D30" s="21"/>
      <c r="E30" s="2"/>
      <c r="F30" s="20"/>
    </row>
    <row r="31" spans="1:6" ht="14.55" customHeight="1">
      <c r="A31" s="2"/>
      <c r="B31" s="3"/>
      <c r="C31" s="3"/>
      <c r="D31" s="21"/>
      <c r="E31" s="2"/>
      <c r="F31" s="20"/>
    </row>
    <row r="32" spans="1:6" ht="14.55" customHeight="1">
      <c r="A32" s="2"/>
      <c r="B32" s="3"/>
      <c r="C32" s="3"/>
      <c r="D32" s="3"/>
      <c r="E32" s="2"/>
    </row>
    <row r="33" spans="1:5" ht="14.55" customHeight="1">
      <c r="A33" s="2"/>
      <c r="B33" s="3"/>
      <c r="C33" s="3"/>
      <c r="D33" s="3"/>
      <c r="E33" s="2"/>
    </row>
    <row r="34" spans="1:5" ht="14.55" customHeight="1">
      <c r="A34" s="2"/>
      <c r="B34" s="3"/>
      <c r="C34" s="3"/>
      <c r="D34" s="3"/>
      <c r="E34" s="2"/>
    </row>
    <row r="35" spans="1:5" ht="14.55" customHeight="1">
      <c r="A35" s="2"/>
      <c r="B35" s="3"/>
      <c r="C35" s="3"/>
      <c r="D35" s="2"/>
      <c r="E35" s="2"/>
    </row>
    <row r="36" spans="1:5" ht="14.55" customHeight="1">
      <c r="A36" s="2"/>
      <c r="B36" s="2"/>
      <c r="C36" s="2"/>
      <c r="D36" s="2"/>
      <c r="E36" s="2"/>
    </row>
    <row r="37" spans="1:5" ht="14.55" customHeight="1">
      <c r="A37" s="2"/>
      <c r="B37" s="2"/>
      <c r="C37" s="2"/>
      <c r="D37" s="2"/>
      <c r="E37" s="2"/>
    </row>
    <row r="38" spans="1:5" ht="14.55" customHeight="1">
      <c r="A38" s="2"/>
      <c r="B38" s="2"/>
      <c r="C38" s="2"/>
      <c r="D38" s="2"/>
    </row>
    <row r="39" spans="1:5" ht="14.55" customHeight="1">
      <c r="A39" s="23"/>
      <c r="B39" s="24"/>
      <c r="C39" s="24"/>
      <c r="D39" s="2"/>
    </row>
    <row r="40" spans="1:5" ht="14.55" customHeight="1">
      <c r="A40" s="2"/>
      <c r="B40" s="3"/>
      <c r="C40" s="3"/>
      <c r="D40" s="2"/>
    </row>
    <row r="41" spans="1:5" ht="14.55" customHeight="1">
      <c r="A41" s="23"/>
      <c r="B41" s="24"/>
      <c r="C41" s="24"/>
      <c r="D41" s="2"/>
    </row>
    <row r="42" spans="1:5" ht="14.55" customHeight="1">
      <c r="A42" s="2"/>
      <c r="B42" s="3"/>
      <c r="C42" s="24"/>
      <c r="D42" s="2"/>
    </row>
    <row r="43" spans="1:5" ht="14.55" customHeight="1">
      <c r="A43" s="2"/>
      <c r="B43" s="3"/>
      <c r="C43" s="3"/>
      <c r="D43" s="2"/>
    </row>
    <row r="44" spans="1:5" ht="14.55" customHeight="1">
      <c r="A44" s="23"/>
      <c r="B44" s="24"/>
      <c r="C44" s="24"/>
      <c r="D44" s="2"/>
    </row>
    <row r="45" spans="1:5" ht="14.55" customHeight="1">
      <c r="A45" s="23"/>
      <c r="B45" s="24"/>
      <c r="C45" s="24"/>
      <c r="D45" s="2"/>
    </row>
    <row r="46" spans="1:5" ht="14.55" customHeight="1">
      <c r="A46" s="23"/>
      <c r="B46" s="24"/>
      <c r="C46" s="24"/>
    </row>
    <row r="47" spans="1:5" ht="14.55" customHeight="1">
      <c r="A47" s="23"/>
      <c r="B47" s="23"/>
      <c r="C47" s="23"/>
    </row>
    <row r="48" spans="1:5" ht="14.55" customHeight="1">
      <c r="A48" s="23"/>
      <c r="B48" s="23"/>
      <c r="C48" s="23"/>
    </row>
    <row r="49" spans="1:4" ht="14.55" customHeight="1">
      <c r="A49" s="23"/>
      <c r="B49" s="23"/>
      <c r="C49" s="23"/>
    </row>
    <row r="50" spans="1:4" ht="14.55" customHeight="1">
      <c r="A50" s="2"/>
      <c r="B50" s="2"/>
      <c r="C50" s="2"/>
    </row>
    <row r="51" spans="1:4" ht="14.55" customHeight="1">
      <c r="A51" s="2"/>
      <c r="B51" s="2"/>
      <c r="C51" s="2"/>
    </row>
    <row r="52" spans="1:4" ht="14.55" customHeight="1">
      <c r="A52" s="2"/>
      <c r="B52" s="2"/>
      <c r="C52" s="2"/>
    </row>
    <row r="53" spans="1:4" ht="14.55" customHeight="1">
      <c r="A53" s="2"/>
      <c r="B53" s="2"/>
      <c r="C53" s="2"/>
    </row>
    <row r="54" spans="1:4" ht="14.55" customHeight="1">
      <c r="A54" s="2"/>
      <c r="B54" s="2"/>
      <c r="C54" s="2"/>
    </row>
    <row r="55" spans="1:4" ht="14.55" customHeight="1">
      <c r="A55" s="2"/>
      <c r="B55" s="2"/>
      <c r="C55" s="2"/>
    </row>
    <row r="56" spans="1:4" ht="14.55" customHeight="1">
      <c r="A56" s="2"/>
      <c r="B56" s="2"/>
      <c r="C56" s="2"/>
    </row>
    <row r="57" spans="1:4" ht="14.55" customHeight="1">
      <c r="A57" s="2"/>
      <c r="B57" s="2"/>
      <c r="C57" s="2"/>
      <c r="D57" s="9"/>
    </row>
  </sheetData>
  <mergeCells count="4">
    <mergeCell ref="A12:E12"/>
    <mergeCell ref="A13:E13"/>
    <mergeCell ref="A14:E14"/>
    <mergeCell ref="A15:E15"/>
  </mergeCells>
  <phoneticPr fontId="13" type="noConversion"/>
  <pageMargins left="0.39370078740157483" right="0.39370078740157483" top="1.4285714285714286" bottom="0.74803149606299213" header="0.31496062992125984" footer="0.31496062992125984"/>
  <pageSetup paperSize="9" orientation="landscape" r:id="rId1"/>
  <headerFooter>
    <oddHeader xml:space="preserve">&amp;L&amp;G
&amp;C&amp;10IREC SA CUP 2018
TEAM LAUSANNE
&amp;K04+024Subsystem
Title Table Template&amp;R&amp;K000000Doc-No.: 2018_SE_XX_0001
Issue:                       1  &amp;K04+000  &amp;K000000           
Category:               XXXXX
Date:   &amp;D
Page:              &amp;P of &amp;N
</oddHeader>
    <oddFooter>&amp;L&amp;10&amp;K000000INTERNAL USE ONLY&amp;C&amp;10&amp;K000000© EPFL Rocket Team 2018. This document shall not be used for other purposes than those for which it was established. No unauthorised distribution, dissemination or disclosure.&amp;11
&amp;R&amp;10&amp;K000000UNCLASSIFIED</oddFooter>
  </headerFooter>
  <legacyDrawingHF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7"/>
  <sheetViews>
    <sheetView workbookViewId="0">
      <selection activeCell="B1" sqref="B1:J1048576"/>
    </sheetView>
  </sheetViews>
  <sheetFormatPr baseColWidth="10" defaultColWidth="8.77734375" defaultRowHeight="14.4"/>
  <cols>
    <col min="1" max="1" width="17.44140625" bestFit="1" customWidth="1"/>
    <col min="2" max="3" width="10.44140625" customWidth="1"/>
    <col min="4" max="4" width="14.44140625" bestFit="1" customWidth="1"/>
    <col min="5" max="6" width="15.44140625" bestFit="1" customWidth="1"/>
    <col min="7" max="7" width="14.109375" bestFit="1" customWidth="1"/>
    <col min="9" max="9" width="9.44140625" customWidth="1"/>
  </cols>
  <sheetData>
    <row r="1" spans="1:10">
      <c r="A1" t="s">
        <v>31</v>
      </c>
      <c r="B1" t="s">
        <v>45</v>
      </c>
      <c r="C1" t="s">
        <v>46</v>
      </c>
      <c r="D1" t="s">
        <v>19</v>
      </c>
      <c r="E1" t="s">
        <v>20</v>
      </c>
      <c r="F1" t="s">
        <v>21</v>
      </c>
      <c r="G1" t="s">
        <v>22</v>
      </c>
      <c r="I1" s="29" t="s">
        <v>40</v>
      </c>
    </row>
    <row r="2" spans="1:10">
      <c r="A2" t="str">
        <f>'Airbrakes - OPTION 1'!B2</f>
        <v>Linear screw system</v>
      </c>
      <c r="B2" t="s">
        <v>33</v>
      </c>
      <c r="C2" t="str">
        <f>'Avionics Main - OPTION 1'!B2</f>
        <v>Main</v>
      </c>
      <c r="D2" t="str">
        <f>'Payload - OPTION 1'!B2</f>
        <v>Main</v>
      </c>
      <c r="E2" t="str">
        <f>'Propulsion - OPTION 1'!$B$2</f>
        <v>Cesaroni M2150</v>
      </c>
      <c r="F2" t="str">
        <f>'Recovery - OPTION 1'!B2</f>
        <v>SRAD</v>
      </c>
      <c r="G2" t="str">
        <f>'Structure - OPTION 1'!B2</f>
        <v>Main</v>
      </c>
      <c r="I2" s="30" t="b">
        <v>0</v>
      </c>
    </row>
    <row r="3" spans="1:10">
      <c r="A3" t="str">
        <f>'Airbrakes - OPTION 2'!B2</f>
        <v>Shuriken</v>
      </c>
      <c r="E3" t="e">
        <f>#REF!</f>
        <v>#REF!</v>
      </c>
    </row>
    <row r="4" spans="1:10">
      <c r="E4" t="e">
        <f>#REF!</f>
        <v>#REF!</v>
      </c>
    </row>
    <row r="5" spans="1:10">
      <c r="B5" s="32"/>
      <c r="C5" s="32"/>
      <c r="D5" s="32"/>
      <c r="G5" s="32"/>
    </row>
    <row r="6" spans="1:10">
      <c r="B6" s="32"/>
      <c r="C6" s="32"/>
      <c r="D6" s="32"/>
      <c r="F6" s="32"/>
      <c r="G6" s="32"/>
      <c r="J6" s="28"/>
    </row>
    <row r="7" spans="1:10">
      <c r="J7" s="27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8</vt:i4>
      </vt:variant>
    </vt:vector>
  </HeadingPairs>
  <TitlesOfParts>
    <vt:vector size="18" baseType="lpstr">
      <vt:lpstr>Rocket</vt:lpstr>
      <vt:lpstr>Airbrakes - OPTION 1</vt:lpstr>
      <vt:lpstr>Airbrakes - OPTION 2</vt:lpstr>
      <vt:lpstr>Avionics Main - OPTION 1</vt:lpstr>
      <vt:lpstr>Avionics Nose - OPTION 1</vt:lpstr>
      <vt:lpstr>Payload - OPTION 1</vt:lpstr>
      <vt:lpstr>Propulsion - OPTION 1</vt:lpstr>
      <vt:lpstr>Recovery - OPTION 1</vt:lpstr>
      <vt:lpstr>Structure - OPTION 1</vt:lpstr>
      <vt:lpstr>Option sheet</vt:lpstr>
      <vt:lpstr>'Airbrakes - OPTION 2'!Impression_des_titres</vt:lpstr>
      <vt:lpstr>'Avionics Main - OPTION 1'!Impression_des_titres</vt:lpstr>
      <vt:lpstr>'Avionics Nose - OPTION 1'!Impression_des_titres</vt:lpstr>
      <vt:lpstr>'Payload - OPTION 1'!Impression_des_titres</vt:lpstr>
      <vt:lpstr>'Propulsion - OPTION 1'!Impression_des_titres</vt:lpstr>
      <vt:lpstr>'Recovery - OPTION 1'!Impression_des_titres</vt:lpstr>
      <vt:lpstr>Rocket!Impression_des_titres</vt:lpstr>
      <vt:lpstr>'Structure - OPTION 1'!Impression_des_titres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Héloïse</dc:creator>
  <cp:lastModifiedBy>Emilien</cp:lastModifiedBy>
  <cp:lastPrinted>2018-01-22T13:07:26Z</cp:lastPrinted>
  <dcterms:created xsi:type="dcterms:W3CDTF">2017-04-27T09:44:25Z</dcterms:created>
  <dcterms:modified xsi:type="dcterms:W3CDTF">2018-06-02T08:56:26Z</dcterms:modified>
</cp:coreProperties>
</file>